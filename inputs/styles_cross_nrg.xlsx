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0a0ff1beb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sswalk" sheetId="1" r:id="Rca3eafad67f44905"/>
    <x:sheet xmlns:r="http://schemas.openxmlformats.org/officeDocument/2006/relationships" name="Beer Review" sheetId="2" r:id="R90804f0b31ef4ee0"/>
    <x:sheet xmlns:r="http://schemas.openxmlformats.org/officeDocument/2006/relationships" name="Family Summary" sheetId="3" r:id="Re1c39a1854c1419b"/>
    <x:sheet xmlns:r="http://schemas.openxmlformats.org/officeDocument/2006/relationships" name="Method &amp; Sources" sheetId="4" r:id="R756dc7e6425e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+0;-0;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i/>
      <x:sz val="11"/>
      <x:color rgb="FF78350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EEF2F7"/>
      </x:patternFill>
    </x:fill>
    <x:fill>
      <x:patternFill patternType="solid">
        <x:fgColor rgb="FFD8F3EC"/>
      </x:patternFill>
    </x:fill>
    <x:fill>
      <x:patternFill patternType="solid">
        <x:fgColor rgb="FFE6F4D7"/>
      </x:patternFill>
    </x:fill>
    <x:fill>
      <x:patternFill patternType="solid">
        <x:fgColor rgb="FFF7E7C6"/>
      </x:patternFill>
    </x:fill>
    <x:fill>
      <x:patternFill patternType="solid">
        <x:fgColor rgb="FFE8D7CF"/>
      </x:patternFill>
    </x:fill>
    <x:fill>
      <x:patternFill patternType="solid">
        <x:fgColor rgb="FFE5E7EB"/>
      </x:patternFill>
    </x:fill>
    <x:fill>
      <x:patternFill patternType="solid">
        <x:fgColor rgb="FFFCE5C7"/>
      </x:patternFill>
    </x:fill>
    <x:fill>
      <x:patternFill patternType="solid">
        <x:fgColor rgb="FFF5D5E3"/>
      </x:patternFill>
    </x:fill>
    <x:fill>
      <x:patternFill patternType="solid">
        <x:fgColor rgb="FF374151"/>
      </x:patternFill>
    </x:fill>
    <x:fill>
      <x:patternFill patternType="solid">
        <x:fgColor rgb="FFFEF3C7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8">
    <x:dxf>
      <x:font>
        <x:b/>
        <x:color rgb="FF1F2937"/>
      </x:font>
      <x:fill>
        <x:patternFill>
          <x:bgColor rgb="FFD8F3EC"/>
        </x:patternFill>
      </x:fill>
    </x:dxf>
    <x:dxf>
      <x:font>
        <x:b/>
        <x:color rgb="FF1F2937"/>
      </x:font>
      <x:fill>
        <x:patternFill>
          <x:bgColor rgb="FFE6F4D7"/>
        </x:patternFill>
      </x:fill>
    </x:dxf>
    <x:dxf>
      <x:font>
        <x:b/>
        <x:color rgb="FF1F2937"/>
      </x:font>
      <x:fill>
        <x:patternFill>
          <x:bgColor rgb="FFF7E7C6"/>
        </x:patternFill>
      </x:fill>
    </x:dxf>
    <x:dxf>
      <x:font>
        <x:b/>
        <x:color rgb="FF1F2937"/>
      </x:font>
      <x:fill>
        <x:patternFill>
          <x:bgColor rgb="FFE8D7CF"/>
        </x:patternFill>
      </x:fill>
    </x:dxf>
    <x:dxf>
      <x:font>
        <x:b/>
        <x:color rgb="FF1F2937"/>
      </x:font>
      <x:fill>
        <x:patternFill>
          <x:bgColor rgb="FFE5E7EB"/>
        </x:patternFill>
      </x:fill>
    </x:dxf>
    <x:dxf>
      <x:font>
        <x:b/>
        <x:color rgb="FF1F2937"/>
      </x:font>
      <x:fill>
        <x:patternFill>
          <x:bgColor rgb="FFFCE5C7"/>
        </x:patternFill>
      </x:fill>
    </x:dxf>
    <x:dxf>
      <x:font>
        <x:b/>
        <x:color rgb="FF1F2937"/>
      </x:font>
      <x:fill>
        <x:patternFill>
          <x:bgColor rgb="FFF5D5E3"/>
        </x:patternFill>
      </x:fill>
    </x:dxf>
    <x:dxf>
      <x:font>
        <x:b/>
        <x:color rgb="FF1F2937"/>
      </x:font>
      <x:fill>
        <x:patternFill>
          <x:bgColor rgb="FFF3F4F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F2937"/>
      </x:font>
      <x:fill>
        <x:patternFill>
          <x:bgColor rgb="FFD8F3EC"/>
        </x:patternFill>
      </x:fill>
    </x:dxf>
    <x:dxf>
      <x:font>
        <x:b/>
        <x:color rgb="FF1F2937"/>
      </x:font>
      <x:fill>
        <x:patternFill>
          <x:bgColor rgb="FFD8F3EC"/>
        </x:patternFill>
      </x:fill>
    </x:dxf>
    <x:dxf>
      <x:font>
        <x:b/>
        <x:color rgb="FF1F2937"/>
      </x:font>
      <x:fill>
        <x:patternFill>
          <x:bgColor rgb="FFE6F4D7"/>
        </x:patternFill>
      </x:fill>
    </x:dxf>
    <x:dxf>
      <x:font>
        <x:b/>
        <x:color rgb="FF1F2937"/>
      </x:font>
      <x:fill>
        <x:patternFill>
          <x:bgColor rgb="FFE6F4D7"/>
        </x:patternFill>
      </x:fill>
    </x:dxf>
    <x:dxf>
      <x:font>
        <x:b/>
        <x:color rgb="FF1F2937"/>
      </x:font>
      <x:fill>
        <x:patternFill>
          <x:bgColor rgb="FFF7E7C6"/>
        </x:patternFill>
      </x:fill>
    </x:dxf>
    <x:dxf>
      <x:font>
        <x:b/>
        <x:color rgb="FF1F2937"/>
      </x:font>
      <x:fill>
        <x:patternFill>
          <x:bgColor rgb="FFF7E7C6"/>
        </x:patternFill>
      </x:fill>
    </x:dxf>
    <x:dxf>
      <x:font>
        <x:b/>
        <x:color rgb="FF1F2937"/>
      </x:font>
      <x:fill>
        <x:patternFill>
          <x:bgColor rgb="FFE8D7CF"/>
        </x:patternFill>
      </x:fill>
    </x:dxf>
    <x:dxf>
      <x:font>
        <x:b/>
        <x:color rgb="FF1F2937"/>
      </x:font>
      <x:fill>
        <x:patternFill>
          <x:bgColor rgb="FFE8D7CF"/>
        </x:patternFill>
      </x:fill>
    </x:dxf>
    <x:dxf>
      <x:font>
        <x:b/>
        <x:color rgb="FF1F2937"/>
      </x:font>
      <x:fill>
        <x:patternFill>
          <x:bgColor rgb="FFE5E7EB"/>
        </x:patternFill>
      </x:fill>
    </x:dxf>
    <x:dxf>
      <x:font>
        <x:b/>
        <x:color rgb="FF1F2937"/>
      </x:font>
      <x:fill>
        <x:patternFill>
          <x:bgColor rgb="FFE5E7EB"/>
        </x:patternFill>
      </x:fill>
    </x:dxf>
    <x:dxf>
      <x:font>
        <x:b/>
        <x:color rgb="FF1F2937"/>
      </x:font>
      <x:fill>
        <x:patternFill>
          <x:bgColor rgb="FFFCE5C7"/>
        </x:patternFill>
      </x:fill>
    </x:dxf>
    <x:dxf>
      <x:font>
        <x:b/>
        <x:color rgb="FF1F2937"/>
      </x:font>
      <x:fill>
        <x:patternFill>
          <x:bgColor rgb="FFFCE5C7"/>
        </x:patternFill>
      </x:fill>
    </x:dxf>
    <x:dxf>
      <x:font>
        <x:b/>
        <x:color rgb="FF1F2937"/>
      </x:font>
      <x:fill>
        <x:patternFill>
          <x:bgColor rgb="FFF5D5E3"/>
        </x:patternFill>
      </x:fill>
    </x:dxf>
    <x:dxf>
      <x:font>
        <x:b/>
        <x:color rgb="FF1F2937"/>
      </x:font>
      <x:fill>
        <x:patternFill>
          <x:bgColor rgb="FFF5D5E3"/>
        </x:patternFill>
      </x:fill>
    </x:dxf>
    <x:dxf>
      <x:font>
        <x:b/>
        <x:color rgb="FF1F2937"/>
      </x:font>
      <x:fill>
        <x:patternFill>
          <x:bgColor rgb="FFF3F4F6"/>
        </x:patternFill>
      </x:fill>
    </x:dxf>
    <x:dxf>
      <x:font>
        <x:b/>
        <x:color rgb="FF1F2937"/>
      </x:font>
      <x:fill>
        <x:patternFill>
          <x:bgColor rgb="FFF3F4F6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51a96c69b4f35" /><Relationship Type="http://schemas.openxmlformats.org/officeDocument/2006/relationships/theme" Target="/xl/theme/theme1.xml" Id="R603be8e3b4d34809" /><Relationship Type="http://schemas.openxmlformats.org/officeDocument/2006/relationships/sharedStrings" Target="/xl/sharedStrings.xml" Id="R060df28017d547a6" /><Relationship Type="http://schemas.openxmlformats.org/officeDocument/2006/relationships/worksheet" Target="/xl/worksheets/sheet1.xml" Id="Rca3eafad67f44905" /><Relationship Type="http://schemas.openxmlformats.org/officeDocument/2006/relationships/worksheet" Target="/xl/worksheets/sheet2.xml" Id="R90804f0b31ef4ee0" /><Relationship Type="http://schemas.openxmlformats.org/officeDocument/2006/relationships/worksheet" Target="/xl/worksheets/sheet3.xml" Id="Re1c39a1854c1419b" /><Relationship Type="http://schemas.openxmlformats.org/officeDocument/2006/relationships/worksheet" Target="/xl/worksheets/sheet4.xml" Id="R756dc7e6425e46d7" /></Relationships>
</file>

<file path=xl/tables/table1.xml><?xml version="1.0" encoding="utf-8"?>
<x:table xmlns:x="http://schemas.openxmlformats.org/spreadsheetml/2006/main" id="1" name="NRGStyleCrosswalk" displayName="NRGStyleCrosswalk" ref="A1:G115" headerRowCount="1" totalsRowCount="0" totalsRowShown="0">
  <x:tableColumns count="7">
    <x:tableColumn id="1" name="Style"/>
    <x:tableColumn id="2" name="Style Family"/>
    <x:tableColumn id="3" name="Beer Count"/>
    <x:tableColumn id="4" name="In Current Export"/>
    <x:tableColumn id="5" name="Confidence"/>
    <x:tableColumn id="6" name="Alternative Family"/>
    <x:tableColumn id="7" name="Decis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RGBeerReview" displayName="NRGBeerReview" ref="A1:J42" headerRowCount="1" totalsRowCount="0" totalsRowShown="0">
  <x:tableColumns count="10">
    <x:tableColumn id="1" name="Beer"/>
    <x:tableColumn id="2" name="Brewery"/>
    <x:tableColumn id="3" name="Untappd Style"/>
    <x:tableColumn id="4" name="Style Default"/>
    <x:tableColumn id="5" name="Final Family"/>
    <x:tableColumn id="6" name="Override?"/>
    <x:tableColumn id="7" name="Confidence"/>
    <x:tableColumn id="8" name="Beer-level Evidence"/>
    <x:tableColumn id="9" name="Untappd URL"/>
    <x:tableColumn id="10" name="Supplement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e538c0c5af4a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55bed7a6eb4c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9" hidden="0" customWidth="1"/>
    <x:col min="3" max="3" width="12" hidden="0" customWidth="1"/>
    <x:col min="4" max="4" width="17" hidden="0" customWidth="1"/>
    <x:col min="5" max="5" width="12" hidden="0" customWidth="1"/>
    <x:col min="6" max="6" width="23" hidden="0" customWidth="1"/>
    <x:col min="7" max="7" width="76" hidden="0" customWidth="1"/>
  </x:cols>
  <x:sheetData>
    <x:row r="1" ht="20" customHeight="1">
      <x:c r="A1" s="3" t="str">
        <x:v>Style</x:v>
      </x:c>
      <x:c r="B1" s="3" t="str">
        <x:v>Style Family</x:v>
      </x:c>
      <x:c r="C1" s="3" t="str">
        <x:v>Beer Count</x:v>
      </x:c>
      <x:c r="D1" s="3" t="str">
        <x:v>In Current Export</x:v>
      </x:c>
      <x:c r="E1" s="3" t="str">
        <x:v>Confidence</x:v>
      </x:c>
      <x:c r="F1" s="3" t="str">
        <x:v>Alternative Family</x:v>
      </x:c>
      <x:c r="G1" s="3" t="str">
        <x:v>Decision Note</x:v>
      </x:c>
    </x:row>
    <x:row r="2" ht="34" customHeight="1">
      <x:c r="A2" s="4" t="str">
        <x:v>Belgian Blonde</x:v>
      </x:c>
      <x:c r="B2" s="4" t="str">
        <x:v>Fruit &amp; Spice</x:v>
      </x:c>
      <x:c r="C2" s="5" t="n">
        <x:v>1</x:v>
      </x:c>
      <x:c r="D2" s="6" t="str">
        <x:v>Yes</x:v>
      </x:c>
      <x:c r="E2" s="6" t="str">
        <x:v>High</x:v>
      </x:c>
      <x:c r="F2" s="6"/>
      <x:c r="G2" s="7" t="str">
        <x:v>Fermentation- or ingredient-led fruit/spice without sourness as the defining trait.</x:v>
      </x:c>
    </x:row>
    <x:row r="3" ht="34" customHeight="1">
      <x:c r="A3" s="4" t="str">
        <x:v>Belgian Strong Dark Ale</x:v>
      </x:c>
      <x:c r="B3" s="4" t="str">
        <x:v>Fruit &amp; Spice</x:v>
      </x:c>
      <x:c r="C3" s="5" t="n">
        <x:v>2</x:v>
      </x:c>
      <x:c r="D3" s="6" t="str">
        <x:v>Yes</x:v>
      </x:c>
      <x:c r="E3" s="6" t="str">
        <x:v>High</x:v>
      </x:c>
      <x:c r="F3" s="6"/>
      <x:c r="G3" s="7" t="str">
        <x:v>Fermentation- or ingredient-led fruit/spice without sourness as the defining trait.</x:v>
      </x:c>
    </x:row>
    <x:row r="4" ht="34" customHeight="1">
      <x:c r="A4" s="4" t="str">
        <x:v>Belgian Strong Golden Ale</x:v>
      </x:c>
      <x:c r="B4" s="4" t="str">
        <x:v>Fruit &amp; Spice</x:v>
      </x:c>
      <x:c r="C4" s="5" t="n">
        <x:v>2</x:v>
      </x:c>
      <x:c r="D4" s="6" t="str">
        <x:v>Yes</x:v>
      </x:c>
      <x:c r="E4" s="6" t="str">
        <x:v>High</x:v>
      </x:c>
      <x:c r="F4" s="6"/>
      <x:c r="G4" s="7" t="str">
        <x:v>Fermentation- or ingredient-led fruit/spice without sourness as the defining trait.</x:v>
      </x:c>
    </x:row>
    <x:row r="5" ht="34" customHeight="1">
      <x:c r="A5" s="4" t="str">
        <x:v>Belgian Tripel</x:v>
      </x:c>
      <x:c r="B5" s="4" t="str">
        <x:v>Fruit &amp; Spice</x:v>
      </x:c>
      <x:c r="C5" s="5" t="n">
        <x:v>1</x:v>
      </x:c>
      <x:c r="D5" s="6" t="str">
        <x:v>Yes</x:v>
      </x:c>
      <x:c r="E5" s="6" t="str">
        <x:v>High</x:v>
      </x:c>
      <x:c r="F5" s="6"/>
      <x:c r="G5" s="7" t="str">
        <x:v>Fermentation- or ingredient-led fruit/spice without sourness as the defining trait.</x:v>
      </x:c>
    </x:row>
    <x:row r="6" ht="34" customHeight="1">
      <x:c r="A6" s="4" t="str">
        <x:v>Bitter - Extra Special / Strong (ESB)</x:v>
      </x:c>
      <x:c r="B6" s="4" t="str">
        <x:v>Malt</x:v>
      </x:c>
      <x:c r="C6" s="5" t="n">
        <x:v>1</x:v>
      </x:c>
      <x:c r="D6" s="6" t="str">
        <x:v>Yes</x:v>
      </x:c>
      <x:c r="E6" s="6" t="str">
        <x:v>High</x:v>
      </x:c>
      <x:c r="F6" s="6"/>
      <x:c r="G6" s="7" t="str">
        <x:v>Toasty, nutty, caramel, or toffee-led profile; NRG's Malt family.</x:v>
      </x:c>
    </x:row>
    <x:row r="7" ht="34" customHeight="1">
      <x:c r="A7" s="4" t="str">
        <x:v>Blonde / Golden Ale - Other</x:v>
      </x:c>
      <x:c r="B7" s="4" t="str">
        <x:v>Crisp</x:v>
      </x:c>
      <x:c r="C7" s="5" t="n">
        <x:v>5</x:v>
      </x:c>
      <x:c r="D7" s="6" t="str">
        <x:v>Yes</x:v>
      </x:c>
      <x:c r="E7" s="6" t="str">
        <x:v>High</x:v>
      </x:c>
      <x:c r="F7" s="6"/>
      <x:c r="G7" s="7" t="str">
        <x:v>Clean, refreshing lager/blond/wheat profile; NRG's Crisp family.</x:v>
      </x:c>
    </x:row>
    <x:row r="8" ht="34" customHeight="1">
      <x:c r="A8" s="4" t="str">
        <x:v>Blonde Ale</x:v>
      </x:c>
      <x:c r="B8" s="4" t="str">
        <x:v>Crisp</x:v>
      </x:c>
      <x:c r="C8" s="5" t="n">
        <x:v>0</x:v>
      </x:c>
      <x:c r="D8" s="6" t="str">
        <x:v>No</x:v>
      </x:c>
      <x:c r="E8" s="6" t="str">
        <x:v>High</x:v>
      </x:c>
      <x:c r="F8" s="6"/>
      <x:c r="G8" s="7" t="str">
        <x:v>Clean, refreshing lager/blond/wheat profile; NRG's Crisp family.</x:v>
      </x:c>
    </x:row>
    <x:row r="9" ht="34" customHeight="1">
      <x:c r="A9" s="4" t="str">
        <x:v>Bock - Doppelbock</x:v>
      </x:c>
      <x:c r="B9" s="4" t="str">
        <x:v>Malt</x:v>
      </x:c>
      <x:c r="C9" s="5" t="n">
        <x:v>2</x:v>
      </x:c>
      <x:c r="D9" s="6" t="str">
        <x:v>Yes</x:v>
      </x:c>
      <x:c r="E9" s="6" t="str">
        <x:v>High</x:v>
      </x:c>
      <x:c r="F9" s="6"/>
      <x:c r="G9" s="7" t="str">
        <x:v>Toasty, nutty, caramel, or toffee-led profile; NRG's Malt family.</x:v>
      </x:c>
    </x:row>
    <x:row r="10" ht="34" customHeight="1">
      <x:c r="A10" s="4" t="str">
        <x:v>Bock - Hell / Maibock / Lentebock</x:v>
      </x:c>
      <x:c r="B10" s="4" t="str">
        <x:v>Crisp</x:v>
      </x:c>
      <x:c r="C10" s="5" t="n">
        <x:v>1</x:v>
      </x:c>
      <x:c r="D10" s="6" t="str">
        <x:v>Yes</x:v>
      </x:c>
      <x:c r="E10" s="6" t="str">
        <x:v>High</x:v>
      </x:c>
      <x:c r="F10" s="6"/>
      <x:c r="G10" s="7" t="str">
        <x:v>Clean, refreshing lager/blond/wheat profile; NRG's Crisp family.</x:v>
      </x:c>
    </x:row>
    <x:row r="11" ht="34" customHeight="1">
      <x:c r="A11" s="4" t="str">
        <x:v>Bock - Single / Traditional</x:v>
      </x:c>
      <x:c r="B11" s="4" t="str">
        <x:v>Malt</x:v>
      </x:c>
      <x:c r="C11" s="5" t="n">
        <x:v>1</x:v>
      </x:c>
      <x:c r="D11" s="6" t="str">
        <x:v>Yes</x:v>
      </x:c>
      <x:c r="E11" s="6" t="str">
        <x:v>High</x:v>
      </x:c>
      <x:c r="F11" s="6"/>
      <x:c r="G11" s="7" t="str">
        <x:v>Toasty, nutty, caramel, or toffee-led profile; NRG's Malt family.</x:v>
      </x:c>
    </x:row>
    <x:row r="12" ht="34" customHeight="1">
      <x:c r="A12" s="4" t="str">
        <x:v>Bock - Weizenbock</x:v>
      </x:c>
      <x:c r="B12" s="4" t="str">
        <x:v>Fruit &amp; Spice</x:v>
      </x:c>
      <x:c r="C12" s="5" t="n">
        <x:v>1</x:v>
      </x:c>
      <x:c r="D12" s="6" t="str">
        <x:v>Yes</x:v>
      </x:c>
      <x:c r="E12" s="6" t="str">
        <x:v>High</x:v>
      </x:c>
      <x:c r="F12" s="6"/>
      <x:c r="G12" s="7" t="str">
        <x:v>Fermentation- or ingredient-led fruit/spice without sourness as the defining trait.</x:v>
      </x:c>
    </x:row>
    <x:row r="13" ht="34" customHeight="1">
      <x:c r="A13" s="4" t="str">
        <x:v>Brett Beer</x:v>
      </x:c>
      <x:c r="B13" s="4" t="str">
        <x:v>Tart &amp; Funky</x:v>
      </x:c>
      <x:c r="C13" s="5" t="n">
        <x:v>1</x:v>
      </x:c>
      <x:c r="D13" s="6" t="str">
        <x:v>Yes</x:v>
      </x:c>
      <x:c r="E13" s="6" t="str">
        <x:v>High</x:v>
      </x:c>
      <x:c r="F13" s="6"/>
      <x:c r="G13" s="7" t="str">
        <x:v>Acidity, Brett, mixed/spontaneous fermentation, or lambic character defines the style.</x:v>
      </x:c>
    </x:row>
    <x:row r="14" ht="34" customHeight="1">
      <x:c r="A14" s="4" t="str">
        <x:v>Brown Ale - American</x:v>
      </x:c>
      <x:c r="B14" s="4" t="str">
        <x:v>Roast</x:v>
      </x:c>
      <x:c r="C14" s="5" t="n">
        <x:v>2</x:v>
      </x:c>
      <x:c r="D14" s="6" t="str">
        <x:v>Yes</x:v>
      </x:c>
      <x:c r="E14" s="6" t="str">
        <x:v>High</x:v>
      </x:c>
      <x:c r="F14" s="6"/>
      <x:c r="G14" s="7" t="str">
        <x:v>Dark malt, cocoa, coffee, or char-led profile; NRG's Roast family.</x:v>
      </x:c>
    </x:row>
    <x:row r="15" ht="34" customHeight="1">
      <x:c r="A15" s="4" t="str">
        <x:v>California Common</x:v>
      </x:c>
      <x:c r="B15" s="4" t="str">
        <x:v>Hop</x:v>
      </x:c>
      <x:c r="C15" s="5" t="n">
        <x:v>1</x:v>
      </x:c>
      <x:c r="D15" s="6" t="str">
        <x:v>Yes</x:v>
      </x:c>
      <x:c r="E15" s="6" t="str">
        <x:v>High</x:v>
      </x:c>
      <x:c r="F15" s="6"/>
      <x:c r="G15" s="7" t="str">
        <x:v>Hop aroma or bitterness is the defining flavor; NRG's Hop family.</x:v>
      </x:c>
    </x:row>
    <x:row r="16" ht="34" customHeight="1">
      <x:c r="A16" s="4" t="str">
        <x:v>Farmhouse Ale - Bière de Garde</x:v>
      </x:c>
      <x:c r="B16" s="4" t="str">
        <x:v>Malt</x:v>
      </x:c>
      <x:c r="C16" s="5" t="n">
        <x:v>2</x:v>
      </x:c>
      <x:c r="D16" s="6" t="str">
        <x:v>Yes</x:v>
      </x:c>
      <x:c r="E16" s="6" t="str">
        <x:v>Medium</x:v>
      </x:c>
      <x:c r="F16" s="6" t="str">
        <x:v>Fruit &amp; Spice</x:v>
      </x:c>
      <x:c r="G16" s="7" t="str">
        <x:v>NRG lists amber/toffee-led bière de garde under Malt, but blond examples can be Fruit &amp; Spice.</x:v>
      </x:c>
    </x:row>
    <x:row r="17" ht="34" customHeight="1">
      <x:c r="A17" s="4" t="str">
        <x:v>Farmhouse Ale - Brett</x:v>
      </x:c>
      <x:c r="B17" s="4" t="str">
        <x:v>Tart &amp; Funky</x:v>
      </x:c>
      <x:c r="C17" s="5" t="n">
        <x:v>2</x:v>
      </x:c>
      <x:c r="D17" s="6" t="str">
        <x:v>Yes</x:v>
      </x:c>
      <x:c r="E17" s="6" t="str">
        <x:v>High</x:v>
      </x:c>
      <x:c r="F17" s="6"/>
      <x:c r="G17" s="7" t="str">
        <x:v>Acidity, Brett, mixed/spontaneous fermentation, or lambic character defines the style.</x:v>
      </x:c>
    </x:row>
    <x:row r="18" ht="34" customHeight="1">
      <x:c r="A18" s="4" t="str">
        <x:v>Farmhouse Ale - Grisette</x:v>
      </x:c>
      <x:c r="B18" s="4" t="str">
        <x:v>Tart &amp; Funky</x:v>
      </x:c>
      <x:c r="C18" s="5" t="n">
        <x:v>1</x:v>
      </x:c>
      <x:c r="D18" s="6" t="str">
        <x:v>Yes</x:v>
      </x:c>
      <x:c r="E18" s="6" t="str">
        <x:v>Medium</x:v>
      </x:c>
      <x:c r="F18" s="6" t="str">
        <x:v>Fruit &amp; Spice</x:v>
      </x:c>
      <x:c r="G18" s="7" t="str">
        <x:v>Current NRG menus place mixed-fermentation grisette under Tart &amp; Funky; a clean grisette can be Fruit &amp; Spice.</x:v>
      </x:c>
    </x:row>
    <x:row r="19" ht="34" customHeight="1">
      <x:c r="A19" s="4" t="str">
        <x:v>Farmhouse Ale - Other</x:v>
      </x:c>
      <x:c r="B19" s="4" t="str">
        <x:v>Fruit &amp; Spice</x:v>
      </x:c>
      <x:c r="C19" s="5" t="n">
        <x:v>2</x:v>
      </x:c>
      <x:c r="D19" s="6" t="str">
        <x:v>Yes</x:v>
      </x:c>
      <x:c r="E19" s="6" t="str">
        <x:v>Low</x:v>
      </x:c>
      <x:c r="F19" s="6" t="str">
        <x:v>Tart &amp; Funky</x:v>
      </x:c>
      <x:c r="G19" s="7" t="str">
        <x:v>Broad residual style: use Fruit &amp; Spice for clean fermentation and Tart &amp; Funky for mixed/Brett fermentation.</x:v>
      </x:c>
    </x:row>
    <x:row r="20" ht="34" customHeight="1">
      <x:c r="A20" s="4" t="str">
        <x:v>Farmhouse Ale - Saison</x:v>
      </x:c>
      <x:c r="B20" s="4" t="str">
        <x:v>Tart &amp; Funky</x:v>
      </x:c>
      <x:c r="C20" s="5" t="n">
        <x:v>16</x:v>
      </x:c>
      <x:c r="D20" s="6" t="str">
        <x:v>Yes</x:v>
      </x:c>
      <x:c r="E20" s="6" t="str">
        <x:v>High</x:v>
      </x:c>
      <x:c r="F20" s="6" t="str">
        <x:v>Fruit &amp; Spice</x:v>
      </x:c>
      <x:c r="G20" s="7" t="str">
        <x:v>Revised default after manual review: current saisons map to Tart &amp; Funky; Growing Light is the sole Fruit &amp; Spice exception.</x:v>
      </x:c>
    </x:row>
    <x:row r="21" ht="34" customHeight="1">
      <x:c r="A21" s="4" t="str">
        <x:v>Festbier</x:v>
      </x:c>
      <x:c r="B21" s="4" t="str">
        <x:v>Crisp</x:v>
      </x:c>
      <x:c r="C21" s="5" t="n">
        <x:v>3</x:v>
      </x:c>
      <x:c r="D21" s="6" t="str">
        <x:v>Yes</x:v>
      </x:c>
      <x:c r="E21" s="6" t="str">
        <x:v>High</x:v>
      </x:c>
      <x:c r="F21" s="6"/>
      <x:c r="G21" s="7" t="str">
        <x:v>Clean, refreshing lager/blond/wheat profile; NRG's Crisp family.</x:v>
      </x:c>
    </x:row>
    <x:row r="22" ht="34" customHeight="1">
      <x:c r="A22" s="4" t="str">
        <x:v>Fruit Beer</x:v>
      </x:c>
      <x:c r="B22" s="4" t="str">
        <x:v>Fruit &amp; Spice</x:v>
      </x:c>
      <x:c r="C22" s="5" t="n">
        <x:v>1</x:v>
      </x:c>
      <x:c r="D22" s="6" t="str">
        <x:v>Yes</x:v>
      </x:c>
      <x:c r="E22" s="6" t="str">
        <x:v>Medium</x:v>
      </x:c>
      <x:c r="F22" s="6" t="str">
        <x:v>Tart &amp; Funky</x:v>
      </x:c>
      <x:c r="G22" s="7" t="str">
        <x:v>Default for fruit-forward, non-sour beer; use Tart &amp; Funky when acidity or mixed fermentation dominates.</x:v>
      </x:c>
    </x:row>
    <x:row r="23" ht="34" customHeight="1">
      <x:c r="A23" s="4" t="str">
        <x:v>Gluten-Free</x:v>
      </x:c>
      <x:c r="B23" s="4" t="str">
        <x:v>Recipe-dependent</x:v>
      </x:c>
      <x:c r="C23" s="5" t="n">
        <x:v>0</x:v>
      </x:c>
      <x:c r="D23" s="6" t="str">
        <x:v>No</x:v>
      </x:c>
      <x:c r="E23" s="6" t="str">
        <x:v>Low</x:v>
      </x:c>
      <x:c r="F23" s="6" t="str">
        <x:v>Underlying style required</x:v>
      </x:c>
      <x:c r="G23" s="7" t="str">
        <x:v>Gluten-free is a dietary/process label, not a flavor family; NRG lists gluten-free lagers, IPAs, and tripels separately.</x:v>
      </x:c>
    </x:row>
    <x:row r="24" ht="34" customHeight="1">
      <x:c r="A24" s="4" t="str">
        <x:v>Grape Ale - Other</x:v>
      </x:c>
      <x:c r="B24" s="4" t="str">
        <x:v>Fruit &amp; Spice</x:v>
      </x:c>
      <x:c r="C24" s="5" t="n">
        <x:v>1</x:v>
      </x:c>
      <x:c r="D24" s="6" t="str">
        <x:v>Yes</x:v>
      </x:c>
      <x:c r="E24" s="6" t="str">
        <x:v>Medium</x:v>
      </x:c>
      <x:c r="F24" s="6" t="str">
        <x:v>Tart &amp; Funky</x:v>
      </x:c>
      <x:c r="G24" s="7" t="str">
        <x:v>Default for a clean, grape-led ale; use Tart &amp; Funky when acidity or mixed fermentation dominates.</x:v>
      </x:c>
    </x:row>
    <x:row r="25" ht="34" customHeight="1">
      <x:c r="A25" s="4" t="str">
        <x:v>Historical Beer - Grodziskie / Grätzer</x:v>
      </x:c>
      <x:c r="B25" s="4" t="str">
        <x:v>Smoke</x:v>
      </x:c>
      <x:c r="C25" s="5" t="n">
        <x:v>2</x:v>
      </x:c>
      <x:c r="D25" s="6" t="str">
        <x:v>Yes</x:v>
      </x:c>
      <x:c r="E25" s="6" t="str">
        <x:v>High</x:v>
      </x:c>
      <x:c r="F25" s="6"/>
      <x:c r="G25" s="7" t="str">
        <x:v>Smoked malt is style-defining; NRG's Smoke family.</x:v>
      </x:c>
    </x:row>
    <x:row r="26" ht="34" customHeight="1">
      <x:c r="A26" s="4" t="str">
        <x:v>Historical Beer - Lichtenhainer</x:v>
      </x:c>
      <x:c r="B26" s="4" t="str">
        <x:v>Smoke</x:v>
      </x:c>
      <x:c r="C26" s="5" t="n">
        <x:v>2</x:v>
      </x:c>
      <x:c r="D26" s="6" t="str">
        <x:v>Yes</x:v>
      </x:c>
      <x:c r="E26" s="6" t="str">
        <x:v>High</x:v>
      </x:c>
      <x:c r="F26" s="6"/>
      <x:c r="G26" s="7" t="str">
        <x:v>All Lichtenhainer maps to Smoke. BJCP defines it as a smoked sour beer and describes its smoke aroma as moderately strong.</x:v>
      </x:c>
    </x:row>
    <x:row r="27" ht="34" customHeight="1">
      <x:c r="A27" s="4" t="str">
        <x:v>Historical Beer - Pre-Prohibition Lager</x:v>
      </x:c>
      <x:c r="B27" s="4" t="str">
        <x:v>Crisp</x:v>
      </x:c>
      <x:c r="C27" s="5" t="n">
        <x:v>1</x:v>
      </x:c>
      <x:c r="D27" s="6" t="str">
        <x:v>Yes</x:v>
      </x:c>
      <x:c r="E27" s="6" t="str">
        <x:v>High</x:v>
      </x:c>
      <x:c r="F27" s="6"/>
      <x:c r="G27" s="7" t="str">
        <x:v>Clean, refreshing lager/blond/wheat profile; NRG's Crisp family.</x:v>
      </x:c>
    </x:row>
    <x:row r="28" ht="34" customHeight="1">
      <x:c r="A28" s="4" t="str">
        <x:v>Historical Beer - Roggenbier</x:v>
      </x:c>
      <x:c r="B28" s="4" t="str">
        <x:v>Fruit &amp; Spice</x:v>
      </x:c>
      <x:c r="C28" s="5" t="n">
        <x:v>1</x:v>
      </x:c>
      <x:c r="D28" s="6" t="str">
        <x:v>Yes</x:v>
      </x:c>
      <x:c r="E28" s="6" t="str">
        <x:v>High</x:v>
      </x:c>
      <x:c r="F28" s="6"/>
      <x:c r="G28" s="7" t="str">
        <x:v>Fermentation- or ingredient-led fruit/spice without sourness as the defining trait.</x:v>
      </x:c>
    </x:row>
    <x:row r="29" ht="34" customHeight="1">
      <x:c r="A29" s="4" t="str">
        <x:v>IPA - American</x:v>
      </x:c>
      <x:c r="B29" s="4" t="str">
        <x:v>Hop</x:v>
      </x:c>
      <x:c r="C29" s="5" t="n">
        <x:v>38</x:v>
      </x:c>
      <x:c r="D29" s="6" t="str">
        <x:v>Yes</x:v>
      </x:c>
      <x:c r="E29" s="6" t="str">
        <x:v>High</x:v>
      </x:c>
      <x:c r="F29" s="6"/>
      <x:c r="G29" s="7" t="str">
        <x:v>Hop aroma or bitterness is the defining flavor; NRG's Hop family.</x:v>
      </x:c>
    </x:row>
    <x:row r="30" ht="34" customHeight="1">
      <x:c r="A30" s="4" t="str">
        <x:v>IPA - Black / Cascadian Dark Ale</x:v>
      </x:c>
      <x:c r="B30" s="4" t="str">
        <x:v>Roast</x:v>
      </x:c>
      <x:c r="C30" s="5" t="n">
        <x:v>1</x:v>
      </x:c>
      <x:c r="D30" s="6" t="str">
        <x:v>Yes</x:v>
      </x:c>
      <x:c r="E30" s="6" t="str">
        <x:v>High</x:v>
      </x:c>
      <x:c r="F30" s="6"/>
      <x:c r="G30" s="7" t="str">
        <x:v>Dark malt, cocoa, coffee, or char-led profile; NRG's Roast family.</x:v>
      </x:c>
    </x:row>
    <x:row r="31" ht="34" customHeight="1">
      <x:c r="A31" s="4" t="str">
        <x:v>IPA - Fruited</x:v>
      </x:c>
      <x:c r="B31" s="4" t="str">
        <x:v>Hop</x:v>
      </x:c>
      <x:c r="C31" s="5" t="n">
        <x:v>1</x:v>
      </x:c>
      <x:c r="D31" s="6" t="str">
        <x:v>Yes</x:v>
      </x:c>
      <x:c r="E31" s="6" t="str">
        <x:v>High</x:v>
      </x:c>
      <x:c r="F31" s="6"/>
      <x:c r="G31" s="7" t="str">
        <x:v>Hop aroma or bitterness is the defining flavor; NRG's Hop family.</x:v>
      </x:c>
    </x:row>
    <x:row r="32" ht="34" customHeight="1">
      <x:c r="A32" s="4" t="str">
        <x:v>IPA - Imperial / Double</x:v>
      </x:c>
      <x:c r="B32" s="4" t="str">
        <x:v>Hop</x:v>
      </x:c>
      <x:c r="C32" s="5" t="n">
        <x:v>36</x:v>
      </x:c>
      <x:c r="D32" s="6" t="str">
        <x:v>Yes</x:v>
      </x:c>
      <x:c r="E32" s="6" t="str">
        <x:v>High</x:v>
      </x:c>
      <x:c r="F32" s="6"/>
      <x:c r="G32" s="7" t="str">
        <x:v>Hop aroma or bitterness is the defining flavor; NRG's Hop family.</x:v>
      </x:c>
    </x:row>
    <x:row r="33" ht="34" customHeight="1">
      <x:c r="A33" s="4" t="str">
        <x:v>IPA - Imperial / Double Black</x:v>
      </x:c>
      <x:c r="B33" s="4" t="str">
        <x:v>Roast</x:v>
      </x:c>
      <x:c r="C33" s="5" t="n">
        <x:v>1</x:v>
      </x:c>
      <x:c r="D33" s="6" t="str">
        <x:v>Yes</x:v>
      </x:c>
      <x:c r="E33" s="6" t="str">
        <x:v>High</x:v>
      </x:c>
      <x:c r="F33" s="6"/>
      <x:c r="G33" s="7" t="str">
        <x:v>Dark malt, cocoa, coffee, or char-led profile; NRG's Roast family.</x:v>
      </x:c>
    </x:row>
    <x:row r="34" ht="34" customHeight="1">
      <x:c r="A34" s="4" t="str">
        <x:v>IPA - Imperial / Double Milkshake</x:v>
      </x:c>
      <x:c r="B34" s="4" t="str">
        <x:v>Hop</x:v>
      </x:c>
      <x:c r="C34" s="5" t="n">
        <x:v>1</x:v>
      </x:c>
      <x:c r="D34" s="6" t="str">
        <x:v>Yes</x:v>
      </x:c>
      <x:c r="E34" s="6" t="str">
        <x:v>High</x:v>
      </x:c>
      <x:c r="F34" s="6"/>
      <x:c r="G34" s="7" t="str">
        <x:v>Hop aroma or bitterness is the defining flavor; NRG's Hop family.</x:v>
      </x:c>
    </x:row>
    <x:row r="35" ht="34" customHeight="1">
      <x:c r="A35" s="4" t="str">
        <x:v>IPA - Imperial / Double New England / Hazy</x:v>
      </x:c>
      <x:c r="B35" s="4" t="str">
        <x:v>Hop</x:v>
      </x:c>
      <x:c r="C35" s="5" t="n">
        <x:v>88</x:v>
      </x:c>
      <x:c r="D35" s="6" t="str">
        <x:v>Yes</x:v>
      </x:c>
      <x:c r="E35" s="6" t="str">
        <x:v>High</x:v>
      </x:c>
      <x:c r="F35" s="6"/>
      <x:c r="G35" s="7" t="str">
        <x:v>Hop aroma or bitterness is the defining flavor; NRG's Hop family.</x:v>
      </x:c>
    </x:row>
    <x:row r="36" ht="34" customHeight="1">
      <x:c r="A36" s="4" t="str">
        <x:v>IPA - New England / Hazy</x:v>
      </x:c>
      <x:c r="B36" s="4" t="str">
        <x:v>Hop</x:v>
      </x:c>
      <x:c r="C36" s="5" t="n">
        <x:v>97</x:v>
      </x:c>
      <x:c r="D36" s="6" t="str">
        <x:v>Yes</x:v>
      </x:c>
      <x:c r="E36" s="6" t="str">
        <x:v>High</x:v>
      </x:c>
      <x:c r="F36" s="6"/>
      <x:c r="G36" s="7" t="str">
        <x:v>Hop aroma or bitterness is the defining flavor; NRG's Hop family.</x:v>
      </x:c>
    </x:row>
    <x:row r="37" ht="34" customHeight="1">
      <x:c r="A37" s="4" t="str">
        <x:v>IPA - New Zealand</x:v>
      </x:c>
      <x:c r="B37" s="4" t="str">
        <x:v>Hop</x:v>
      </x:c>
      <x:c r="C37" s="5" t="n">
        <x:v>4</x:v>
      </x:c>
      <x:c r="D37" s="6" t="str">
        <x:v>Yes</x:v>
      </x:c>
      <x:c r="E37" s="6" t="str">
        <x:v>High</x:v>
      </x:c>
      <x:c r="F37" s="6"/>
      <x:c r="G37" s="7" t="str">
        <x:v>Hop aroma or bitterness is the defining flavor; NRG's Hop family.</x:v>
      </x:c>
    </x:row>
    <x:row r="38" ht="34" customHeight="1">
      <x:c r="A38" s="4" t="str">
        <x:v>IPA - Other</x:v>
      </x:c>
      <x:c r="B38" s="4" t="str">
        <x:v>Hop</x:v>
      </x:c>
      <x:c r="C38" s="5" t="n">
        <x:v>1</x:v>
      </x:c>
      <x:c r="D38" s="6" t="str">
        <x:v>Yes</x:v>
      </x:c>
      <x:c r="E38" s="6" t="str">
        <x:v>High</x:v>
      </x:c>
      <x:c r="F38" s="6"/>
      <x:c r="G38" s="7" t="str">
        <x:v>Hop aroma or bitterness is the defining flavor; NRG's Hop family.</x:v>
      </x:c>
    </x:row>
    <x:row r="39" ht="34" customHeight="1">
      <x:c r="A39" s="4" t="str">
        <x:v>IPA - Red</x:v>
      </x:c>
      <x:c r="B39" s="4" t="str">
        <x:v>Hop</x:v>
      </x:c>
      <x:c r="C39" s="5" t="n">
        <x:v>1</x:v>
      </x:c>
      <x:c r="D39" s="6" t="str">
        <x:v>Yes</x:v>
      </x:c>
      <x:c r="E39" s="6" t="str">
        <x:v>High</x:v>
      </x:c>
      <x:c r="F39" s="6"/>
      <x:c r="G39" s="7" t="str">
        <x:v>Hop aroma or bitterness is the defining flavor; NRG's Hop family.</x:v>
      </x:c>
    </x:row>
    <x:row r="40" ht="34" customHeight="1">
      <x:c r="A40" s="4" t="str">
        <x:v>IPA - Session</x:v>
      </x:c>
      <x:c r="B40" s="4" t="str">
        <x:v>Hop</x:v>
      </x:c>
      <x:c r="C40" s="5" t="n">
        <x:v>2</x:v>
      </x:c>
      <x:c r="D40" s="6" t="str">
        <x:v>Yes</x:v>
      </x:c>
      <x:c r="E40" s="6" t="str">
        <x:v>High</x:v>
      </x:c>
      <x:c r="F40" s="6"/>
      <x:c r="G40" s="7" t="str">
        <x:v>Hop aroma or bitterness is the defining flavor; NRG's Hop family.</x:v>
      </x:c>
    </x:row>
    <x:row r="41" ht="34" customHeight="1">
      <x:c r="A41" s="4" t="str">
        <x:v>IPA - Session New England / Hazy</x:v>
      </x:c>
      <x:c r="B41" s="4" t="str">
        <x:v>Hop</x:v>
      </x:c>
      <x:c r="C41" s="5" t="n">
        <x:v>1</x:v>
      </x:c>
      <x:c r="D41" s="6" t="str">
        <x:v>Yes</x:v>
      </x:c>
      <x:c r="E41" s="6" t="str">
        <x:v>High</x:v>
      </x:c>
      <x:c r="F41" s="6"/>
      <x:c r="G41" s="7" t="str">
        <x:v>Hop aroma or bitterness is the defining flavor; NRG's Hop family.</x:v>
      </x:c>
    </x:row>
    <x:row r="42" ht="34" customHeight="1">
      <x:c r="A42" s="4" t="str">
        <x:v>IPA - Sour</x:v>
      </x:c>
      <x:c r="B42" s="4" t="str">
        <x:v>Tart &amp; Funky</x:v>
      </x:c>
      <x:c r="C42" s="5" t="n">
        <x:v>1</x:v>
      </x:c>
      <x:c r="D42" s="6" t="str">
        <x:v>Yes</x:v>
      </x:c>
      <x:c r="E42" s="6" t="str">
        <x:v>High</x:v>
      </x:c>
      <x:c r="F42" s="6"/>
      <x:c r="G42" s="7" t="str">
        <x:v>Acidity, Brett, mixed/spontaneous fermentation, or lambic character defines the style.</x:v>
      </x:c>
    </x:row>
    <x:row r="43" ht="34" customHeight="1">
      <x:c r="A43" s="4" t="str">
        <x:v>IPA - Triple New England / Hazy</x:v>
      </x:c>
      <x:c r="B43" s="4" t="str">
        <x:v>Hop</x:v>
      </x:c>
      <x:c r="C43" s="5" t="n">
        <x:v>2</x:v>
      </x:c>
      <x:c r="D43" s="6" t="str">
        <x:v>Yes</x:v>
      </x:c>
      <x:c r="E43" s="6" t="str">
        <x:v>High</x:v>
      </x:c>
      <x:c r="F43" s="6"/>
      <x:c r="G43" s="7" t="str">
        <x:v>Hop aroma or bitterness is the defining flavor; NRG's Hop family.</x:v>
      </x:c>
    </x:row>
    <x:row r="44" ht="34" customHeight="1">
      <x:c r="A44" s="4" t="str">
        <x:v>Kellerbier / Zwickelbier</x:v>
      </x:c>
      <x:c r="B44" s="4" t="str">
        <x:v>Crisp</x:v>
      </x:c>
      <x:c r="C44" s="5" t="n">
        <x:v>1</x:v>
      </x:c>
      <x:c r="D44" s="6" t="str">
        <x:v>Yes</x:v>
      </x:c>
      <x:c r="E44" s="6" t="str">
        <x:v>High</x:v>
      </x:c>
      <x:c r="F44" s="6"/>
      <x:c r="G44" s="7" t="str">
        <x:v>Clean, refreshing lager/blond/wheat profile; NRG's Crisp family.</x:v>
      </x:c>
    </x:row>
    <x:row r="45" ht="34" customHeight="1">
      <x:c r="A45" s="4" t="str">
        <x:v>Kellerbier / Zwickelbier - Kellerpils</x:v>
      </x:c>
      <x:c r="B45" s="4" t="str">
        <x:v>Crisp</x:v>
      </x:c>
      <x:c r="C45" s="5" t="n">
        <x:v>1</x:v>
      </x:c>
      <x:c r="D45" s="6" t="str">
        <x:v>Yes</x:v>
      </x:c>
      <x:c r="E45" s="6" t="str">
        <x:v>High</x:v>
      </x:c>
      <x:c r="F45" s="6"/>
      <x:c r="G45" s="7" t="str">
        <x:v>Clean, refreshing lager/blond/wheat profile; NRG's Crisp family.</x:v>
      </x:c>
    </x:row>
    <x:row r="46" ht="34" customHeight="1">
      <x:c r="A46" s="4" t="str">
        <x:v>Kölsch</x:v>
      </x:c>
      <x:c r="B46" s="4" t="str">
        <x:v>Crisp</x:v>
      </x:c>
      <x:c r="C46" s="5" t="n">
        <x:v>4</x:v>
      </x:c>
      <x:c r="D46" s="6" t="str">
        <x:v>Yes</x:v>
      </x:c>
      <x:c r="E46" s="6" t="str">
        <x:v>High</x:v>
      </x:c>
      <x:c r="F46" s="6"/>
      <x:c r="G46" s="7" t="str">
        <x:v>Clean, refreshing lager/blond/wheat profile; NRG's Crisp family.</x:v>
      </x:c>
    </x:row>
    <x:row r="47" ht="34" customHeight="1">
      <x:c r="A47" s="4" t="str">
        <x:v>Lager - Amber / Red</x:v>
      </x:c>
      <x:c r="B47" s="4" t="str">
        <x:v>Crisp</x:v>
      </x:c>
      <x:c r="C47" s="5" t="n">
        <x:v>1</x:v>
      </x:c>
      <x:c r="D47" s="6" t="str">
        <x:v>Yes</x:v>
      </x:c>
      <x:c r="E47" s="6" t="str">
        <x:v>High</x:v>
      </x:c>
      <x:c r="F47" s="6"/>
      <x:c r="G47" s="7" t="str">
        <x:v>Clean, refreshing lager/blond/wheat profile; NRG's Crisp family.</x:v>
      </x:c>
    </x:row>
    <x:row r="48" ht="34" customHeight="1">
      <x:c r="A48" s="4" t="str">
        <x:v>Lager - American</x:v>
      </x:c>
      <x:c r="B48" s="4" t="str">
        <x:v>Crisp</x:v>
      </x:c>
      <x:c r="C48" s="5" t="n">
        <x:v>6</x:v>
      </x:c>
      <x:c r="D48" s="6" t="str">
        <x:v>Yes</x:v>
      </x:c>
      <x:c r="E48" s="6" t="str">
        <x:v>High</x:v>
      </x:c>
      <x:c r="F48" s="6"/>
      <x:c r="G48" s="7" t="str">
        <x:v>Clean, refreshing lager/blond/wheat profile; NRG's Crisp family.</x:v>
      </x:c>
    </x:row>
    <x:row r="49" ht="34" customHeight="1">
      <x:c r="A49" s="4" t="str">
        <x:v>Lager - American Amber / Red</x:v>
      </x:c>
      <x:c r="B49" s="4" t="str">
        <x:v>Crisp</x:v>
      </x:c>
      <x:c r="C49" s="5" t="n">
        <x:v>1</x:v>
      </x:c>
      <x:c r="D49" s="6" t="str">
        <x:v>Yes</x:v>
      </x:c>
      <x:c r="E49" s="6" t="str">
        <x:v>High</x:v>
      </x:c>
      <x:c r="F49" s="6"/>
      <x:c r="G49" s="7" t="str">
        <x:v>Clean, refreshing lager/blond/wheat profile; NRG's Crisp family.</x:v>
      </x:c>
    </x:row>
    <x:row r="50" ht="34" customHeight="1">
      <x:c r="A50" s="4" t="str">
        <x:v>Lager - American Light</x:v>
      </x:c>
      <x:c r="B50" s="4" t="str">
        <x:v>Crisp</x:v>
      </x:c>
      <x:c r="C50" s="5" t="n">
        <x:v>7</x:v>
      </x:c>
      <x:c r="D50" s="6" t="str">
        <x:v>Yes</x:v>
      </x:c>
      <x:c r="E50" s="6" t="str">
        <x:v>High</x:v>
      </x:c>
      <x:c r="F50" s="6"/>
      <x:c r="G50" s="7" t="str">
        <x:v>Clean, refreshing lager/blond/wheat profile; NRG's Crisp family.</x:v>
      </x:c>
    </x:row>
    <x:row r="51" ht="34" customHeight="1">
      <x:c r="A51" s="4" t="str">
        <x:v>Lager - Dark</x:v>
      </x:c>
      <x:c r="B51" s="4" t="str">
        <x:v>Malt</x:v>
      </x:c>
      <x:c r="C51" s="5" t="n">
        <x:v>0</x:v>
      </x:c>
      <x:c r="D51" s="6" t="str">
        <x:v>No</x:v>
      </x:c>
      <x:c r="E51" s="6" t="str">
        <x:v>Medium</x:v>
      </x:c>
      <x:c r="F51" s="6" t="str">
        <x:v>Roast</x:v>
      </x:c>
      <x:c r="G51" s="7" t="str">
        <x:v>NRG's guide places dark lager under Malt; distinctly roasty dark lagers move to Roast.</x:v>
      </x:c>
    </x:row>
    <x:row r="52" ht="34" customHeight="1">
      <x:c r="A52" s="4" t="str">
        <x:v>Lager - Helles</x:v>
      </x:c>
      <x:c r="B52" s="4" t="str">
        <x:v>Crisp</x:v>
      </x:c>
      <x:c r="C52" s="5" t="n">
        <x:v>13</x:v>
      </x:c>
      <x:c r="D52" s="6" t="str">
        <x:v>Yes</x:v>
      </x:c>
      <x:c r="E52" s="6" t="str">
        <x:v>High</x:v>
      </x:c>
      <x:c r="F52" s="6"/>
      <x:c r="G52" s="7" t="str">
        <x:v>Clean, refreshing lager/blond/wheat profile; NRG's Crisp family.</x:v>
      </x:c>
    </x:row>
    <x:row r="53" ht="34" customHeight="1">
      <x:c r="A53" s="4" t="str">
        <x:v>Lager - Mexican</x:v>
      </x:c>
      <x:c r="B53" s="4" t="str">
        <x:v>Crisp</x:v>
      </x:c>
      <x:c r="C53" s="5" t="n">
        <x:v>2</x:v>
      </x:c>
      <x:c r="D53" s="6" t="str">
        <x:v>Yes</x:v>
      </x:c>
      <x:c r="E53" s="6" t="str">
        <x:v>High</x:v>
      </x:c>
      <x:c r="F53" s="6"/>
      <x:c r="G53" s="7" t="str">
        <x:v>Clean, refreshing lager/blond/wheat profile; NRG's Crisp family.</x:v>
      </x:c>
    </x:row>
    <x:row r="54" ht="34" customHeight="1">
      <x:c r="A54" s="4" t="str">
        <x:v>Lager - Munich Dunkel</x:v>
      </x:c>
      <x:c r="B54" s="4" t="str">
        <x:v>Malt</x:v>
      </x:c>
      <x:c r="C54" s="5" t="n">
        <x:v>3</x:v>
      </x:c>
      <x:c r="D54" s="6" t="str">
        <x:v>Yes</x:v>
      </x:c>
      <x:c r="E54" s="6" t="str">
        <x:v>High</x:v>
      </x:c>
      <x:c r="F54" s="6"/>
      <x:c r="G54" s="7" t="str">
        <x:v>Toasty, nutty, caramel, or toffee-led profile; NRG's Malt family.</x:v>
      </x:c>
    </x:row>
    <x:row r="55" ht="34" customHeight="1">
      <x:c r="A55" s="4" t="str">
        <x:v>Lager - Other</x:v>
      </x:c>
      <x:c r="B55" s="4" t="str">
        <x:v>Crisp</x:v>
      </x:c>
      <x:c r="C55" s="5" t="n">
        <x:v>1</x:v>
      </x:c>
      <x:c r="D55" s="6" t="str">
        <x:v>Yes</x:v>
      </x:c>
      <x:c r="E55" s="6" t="str">
        <x:v>Low</x:v>
      </x:c>
      <x:c r="F55" s="6" t="str">
        <x:v>Underlying style required</x:v>
      </x:c>
      <x:c r="G55" s="7" t="str">
        <x:v>Default for a clean lager; this residual Untappd style needs beer-level review if malt, roast, smoke, or hops dominate.</x:v>
      </x:c>
    </x:row>
    <x:row r="56" ht="34" customHeight="1">
      <x:c r="A56" s="4" t="str">
        <x:v>Lager - Pale</x:v>
      </x:c>
      <x:c r="B56" s="4" t="str">
        <x:v>Crisp</x:v>
      </x:c>
      <x:c r="C56" s="5" t="n">
        <x:v>12</x:v>
      </x:c>
      <x:c r="D56" s="6" t="str">
        <x:v>Yes</x:v>
      </x:c>
      <x:c r="E56" s="6" t="str">
        <x:v>High</x:v>
      </x:c>
      <x:c r="F56" s="6"/>
      <x:c r="G56" s="7" t="str">
        <x:v>Clean, refreshing lager/blond/wheat profile; NRG's Crisp family.</x:v>
      </x:c>
    </x:row>
    <x:row r="57" ht="34" customHeight="1">
      <x:c r="A57" s="4" t="str">
        <x:v>Lager - Polotmavé (Czech Amber)</x:v>
      </x:c>
      <x:c r="B57" s="4" t="str">
        <x:v>Crisp</x:v>
      </x:c>
      <x:c r="C57" s="5" t="n">
        <x:v>5</x:v>
      </x:c>
      <x:c r="D57" s="6" t="str">
        <x:v>Yes</x:v>
      </x:c>
      <x:c r="E57" s="6" t="str">
        <x:v>High</x:v>
      </x:c>
      <x:c r="F57" s="6"/>
      <x:c r="G57" s="7" t="str">
        <x:v>Clean, refreshing lager/blond/wheat profile; NRG's Crisp family.</x:v>
      </x:c>
    </x:row>
    <x:row r="58" ht="34" customHeight="1">
      <x:c r="A58" s="4" t="str">
        <x:v>Lager - Smoked</x:v>
      </x:c>
      <x:c r="B58" s="4" t="str">
        <x:v>Smoke</x:v>
      </x:c>
      <x:c r="C58" s="5" t="n">
        <x:v>6</x:v>
      </x:c>
      <x:c r="D58" s="6" t="str">
        <x:v>Yes</x:v>
      </x:c>
      <x:c r="E58" s="6" t="str">
        <x:v>High</x:v>
      </x:c>
      <x:c r="F58" s="6"/>
      <x:c r="G58" s="7" t="str">
        <x:v>Smoked malt is style-defining; NRG's Smoke family.</x:v>
      </x:c>
    </x:row>
    <x:row r="59" ht="34" customHeight="1">
      <x:c r="A59" s="4" t="str">
        <x:v>Lager - Strong</x:v>
      </x:c>
      <x:c r="B59" s="4" t="str">
        <x:v>Crisp</x:v>
      </x:c>
      <x:c r="C59" s="5" t="n">
        <x:v>1</x:v>
      </x:c>
      <x:c r="D59" s="6" t="str">
        <x:v>Yes</x:v>
      </x:c>
      <x:c r="E59" s="6" t="str">
        <x:v>Low</x:v>
      </x:c>
      <x:c r="F59" s="6" t="str">
        <x:v>Malt</x:v>
      </x:c>
      <x:c r="G59" s="7" t="str">
        <x:v>Strength does not determine flavor; default is clean/refreshing, with malt-led strong lagers moved to Malt.</x:v>
      </x:c>
    </x:row>
    <x:row r="60" ht="34" customHeight="1">
      <x:c r="A60" s="4" t="str">
        <x:v>Lager - Světlé (Czech Pale)</x:v>
      </x:c>
      <x:c r="B60" s="4" t="str">
        <x:v>Crisp</x:v>
      </x:c>
      <x:c r="C60" s="5" t="n">
        <x:v>5</x:v>
      </x:c>
      <x:c r="D60" s="6" t="str">
        <x:v>Yes</x:v>
      </x:c>
      <x:c r="E60" s="6" t="str">
        <x:v>High</x:v>
      </x:c>
      <x:c r="F60" s="6"/>
      <x:c r="G60" s="7" t="str">
        <x:v>Clean, refreshing lager/blond/wheat profile; NRG's Crisp family.</x:v>
      </x:c>
    </x:row>
    <x:row r="61" ht="34" customHeight="1">
      <x:c r="A61" s="4" t="str">
        <x:v>Lager - Tmavé (Czech Dark)</x:v>
      </x:c>
      <x:c r="B61" s="4" t="str">
        <x:v>Malt</x:v>
      </x:c>
      <x:c r="C61" s="5" t="n">
        <x:v>9</x:v>
      </x:c>
      <x:c r="D61" s="6" t="str">
        <x:v>Yes</x:v>
      </x:c>
      <x:c r="E61" s="6" t="str">
        <x:v>High</x:v>
      </x:c>
      <x:c r="F61" s="6"/>
      <x:c r="G61" s="7" t="str">
        <x:v>All Czech dark lagers map to Malt. BJCP says deep, complex maltiness dominates; roast varies and should not overwhelm the base malt.</x:v>
      </x:c>
    </x:row>
    <x:row r="62" ht="34" customHeight="1">
      <x:c r="A62" s="4" t="str">
        <x:v>Lager - Vienna</x:v>
      </x:c>
      <x:c r="B62" s="4" t="str">
        <x:v>Crisp</x:v>
      </x:c>
      <x:c r="C62" s="5" t="n">
        <x:v>5</x:v>
      </x:c>
      <x:c r="D62" s="6" t="str">
        <x:v>Yes</x:v>
      </x:c>
      <x:c r="E62" s="6" t="str">
        <x:v>High</x:v>
      </x:c>
      <x:c r="F62" s="6"/>
      <x:c r="G62" s="7" t="str">
        <x:v>Clean, refreshing lager/blond/wheat profile; NRG's Crisp family.</x:v>
      </x:c>
    </x:row>
    <x:row r="63" ht="34" customHeight="1">
      <x:c r="A63" s="4" t="str">
        <x:v>Lambic - Fruit</x:v>
      </x:c>
      <x:c r="B63" s="4" t="str">
        <x:v>Tart &amp; Funky</x:v>
      </x:c>
      <x:c r="C63" s="5" t="n">
        <x:v>1</x:v>
      </x:c>
      <x:c r="D63" s="6" t="str">
        <x:v>Yes</x:v>
      </x:c>
      <x:c r="E63" s="6" t="str">
        <x:v>High</x:v>
      </x:c>
      <x:c r="F63" s="6"/>
      <x:c r="G63" s="7" t="str">
        <x:v>Acidity, Brett, mixed/spontaneous fermentation, or lambic character defines the style.</x:v>
      </x:c>
    </x:row>
    <x:row r="64" ht="34" customHeight="1">
      <x:c r="A64" s="4" t="str">
        <x:v>Märzen</x:v>
      </x:c>
      <x:c r="B64" s="4" t="str">
        <x:v>Crisp</x:v>
      </x:c>
      <x:c r="C64" s="5" t="n">
        <x:v>7</x:v>
      </x:c>
      <x:c r="D64" s="6" t="str">
        <x:v>Yes</x:v>
      </x:c>
      <x:c r="E64" s="6" t="str">
        <x:v>High</x:v>
      </x:c>
      <x:c r="F64" s="6"/>
      <x:c r="G64" s="7" t="str">
        <x:v>Clean, refreshing lager/blond/wheat profile; NRG's Crisp family.</x:v>
      </x:c>
    </x:row>
    <x:row r="65" ht="34" customHeight="1">
      <x:c r="A65" s="4" t="str">
        <x:v>Mild - Other</x:v>
      </x:c>
      <x:c r="B65" s="4" t="str">
        <x:v>Malt</x:v>
      </x:c>
      <x:c r="C65" s="5" t="n">
        <x:v>1</x:v>
      </x:c>
      <x:c r="D65" s="6" t="str">
        <x:v>Yes</x:v>
      </x:c>
      <x:c r="E65" s="6" t="str">
        <x:v>High</x:v>
      </x:c>
      <x:c r="F65" s="6"/>
      <x:c r="G65" s="7" t="str">
        <x:v>Classic English mild led by toasted biscuit, caramelized malt, and cocoa; NRG's Malt family.</x:v>
      </x:c>
    </x:row>
    <x:row r="66" ht="34" customHeight="1">
      <x:c r="A66" s="4" t="str">
        <x:v>Old / Stock Ale</x:v>
      </x:c>
      <x:c r="B66" s="4" t="str">
        <x:v>Malt</x:v>
      </x:c>
      <x:c r="C66" s="5" t="n">
        <x:v>2</x:v>
      </x:c>
      <x:c r="D66" s="6" t="str">
        <x:v>Yes</x:v>
      </x:c>
      <x:c r="E66" s="6" t="str">
        <x:v>High</x:v>
      </x:c>
      <x:c r="F66" s="6"/>
      <x:c r="G66" s="7" t="str">
        <x:v>Toasty, nutty, caramel, or toffee-led profile; NRG's Malt family.</x:v>
      </x:c>
    </x:row>
    <x:row r="67" ht="34" customHeight="1">
      <x:c r="A67" s="4" t="str">
        <x:v>Old Ale</x:v>
      </x:c>
      <x:c r="B67" s="4" t="str">
        <x:v>Malt</x:v>
      </x:c>
      <x:c r="C67" s="5" t="n">
        <x:v>0</x:v>
      </x:c>
      <x:c r="D67" s="6" t="str">
        <x:v>No</x:v>
      </x:c>
      <x:c r="E67" s="6" t="str">
        <x:v>High</x:v>
      </x:c>
      <x:c r="F67" s="6"/>
      <x:c r="G67" s="7" t="str">
        <x:v>Toasty, nutty, caramel, or toffee-led profile; NRG's Malt family.</x:v>
      </x:c>
    </x:row>
    <x:row r="68" ht="34" customHeight="1">
      <x:c r="A68" s="4" t="str">
        <x:v>Pale Ale - American</x:v>
      </x:c>
      <x:c r="B68" s="4" t="str">
        <x:v>Hop</x:v>
      </x:c>
      <x:c r="C68" s="5" t="n">
        <x:v>20</x:v>
      </x:c>
      <x:c r="D68" s="6" t="str">
        <x:v>Yes</x:v>
      </x:c>
      <x:c r="E68" s="6" t="str">
        <x:v>High</x:v>
      </x:c>
      <x:c r="F68" s="6"/>
      <x:c r="G68" s="7" t="str">
        <x:v>Hop aroma or bitterness is the defining flavor; NRG's Hop family.</x:v>
      </x:c>
    </x:row>
    <x:row r="69" ht="34" customHeight="1">
      <x:c r="A69" s="4" t="str">
        <x:v>Pale Ale - Belgian</x:v>
      </x:c>
      <x:c r="B69" s="4" t="str">
        <x:v>Malt</x:v>
      </x:c>
      <x:c r="C69" s="5" t="n">
        <x:v>2</x:v>
      </x:c>
      <x:c r="D69" s="6" t="str">
        <x:v>Yes</x:v>
      </x:c>
      <x:c r="E69" s="6" t="str">
        <x:v>Medium</x:v>
      </x:c>
      <x:c r="F69" s="6" t="str">
        <x:v>Fruit &amp; Spice</x:v>
      </x:c>
      <x:c r="G69" s="7" t="str">
        <x:v>Greg Engert's guide lists Belgian pale ale under Malt; current yeast-forward examples also appear in Fruit &amp; Spice.</x:v>
      </x:c>
    </x:row>
    <x:row r="70" ht="34" customHeight="1">
      <x:c r="A70" s="4" t="str">
        <x:v>Pale Ale - Fruited</x:v>
      </x:c>
      <x:c r="B70" s="4" t="str">
        <x:v>Hop</x:v>
      </x:c>
      <x:c r="C70" s="5" t="n">
        <x:v>1</x:v>
      </x:c>
      <x:c r="D70" s="6" t="str">
        <x:v>Yes</x:v>
      </x:c>
      <x:c r="E70" s="6" t="str">
        <x:v>High</x:v>
      </x:c>
      <x:c r="F70" s="6"/>
      <x:c r="G70" s="7" t="str">
        <x:v>Hop aroma or bitterness is the defining flavor; NRG's Hop family.</x:v>
      </x:c>
    </x:row>
    <x:row r="71" ht="34" customHeight="1">
      <x:c r="A71" s="4" t="str">
        <x:v>Pale Ale - New England / Hazy</x:v>
      </x:c>
      <x:c r="B71" s="4" t="str">
        <x:v>Hop</x:v>
      </x:c>
      <x:c r="C71" s="5" t="n">
        <x:v>19</x:v>
      </x:c>
      <x:c r="D71" s="6" t="str">
        <x:v>Yes</x:v>
      </x:c>
      <x:c r="E71" s="6" t="str">
        <x:v>High</x:v>
      </x:c>
      <x:c r="F71" s="6"/>
      <x:c r="G71" s="7" t="str">
        <x:v>Hop aroma or bitterness is the defining flavor; NRG's Hop family.</x:v>
      </x:c>
    </x:row>
    <x:row r="72" ht="34" customHeight="1">
      <x:c r="A72" s="4" t="str">
        <x:v>Pale Ale - New Zealand</x:v>
      </x:c>
      <x:c r="B72" s="4" t="str">
        <x:v>Hop</x:v>
      </x:c>
      <x:c r="C72" s="5" t="n">
        <x:v>2</x:v>
      </x:c>
      <x:c r="D72" s="6" t="str">
        <x:v>Yes</x:v>
      </x:c>
      <x:c r="E72" s="6" t="str">
        <x:v>High</x:v>
      </x:c>
      <x:c r="F72" s="6"/>
      <x:c r="G72" s="7" t="str">
        <x:v>Hop aroma or bitterness is the defining flavor; NRG's Hop family.</x:v>
      </x:c>
    </x:row>
    <x:row r="73" ht="34" customHeight="1">
      <x:c r="A73" s="4" t="str">
        <x:v>Pilsner - American</x:v>
      </x:c>
      <x:c r="B73" s="4" t="str">
        <x:v>Crisp</x:v>
      </x:c>
      <x:c r="C73" s="5" t="n">
        <x:v>2</x:v>
      </x:c>
      <x:c r="D73" s="6" t="str">
        <x:v>Yes</x:v>
      </x:c>
      <x:c r="E73" s="6" t="str">
        <x:v>High</x:v>
      </x:c>
      <x:c r="F73" s="6"/>
      <x:c r="G73" s="7" t="str">
        <x:v>Clean, refreshing lager/blond/wheat profile; NRG's Crisp family.</x:v>
      </x:c>
    </x:row>
    <x:row r="74" ht="34" customHeight="1">
      <x:c r="A74" s="4" t="str">
        <x:v>Pilsner - Czech / Bohemian</x:v>
      </x:c>
      <x:c r="B74" s="4" t="str">
        <x:v>Crisp</x:v>
      </x:c>
      <x:c r="C74" s="5" t="n">
        <x:v>5</x:v>
      </x:c>
      <x:c r="D74" s="6" t="str">
        <x:v>Yes</x:v>
      </x:c>
      <x:c r="E74" s="6" t="str">
        <x:v>High</x:v>
      </x:c>
      <x:c r="F74" s="6"/>
      <x:c r="G74" s="7" t="str">
        <x:v>Clean, refreshing lager/blond/wheat profile; NRG's Crisp family.</x:v>
      </x:c>
    </x:row>
    <x:row r="75" ht="34" customHeight="1">
      <x:c r="A75" s="4" t="str">
        <x:v>Pilsner - German</x:v>
      </x:c>
      <x:c r="B75" s="4" t="str">
        <x:v>Crisp</x:v>
      </x:c>
      <x:c r="C75" s="5" t="n">
        <x:v>11</x:v>
      </x:c>
      <x:c r="D75" s="6" t="str">
        <x:v>Yes</x:v>
      </x:c>
      <x:c r="E75" s="6" t="str">
        <x:v>High</x:v>
      </x:c>
      <x:c r="F75" s="6"/>
      <x:c r="G75" s="7" t="str">
        <x:v>Clean, refreshing lager/blond/wheat profile; NRG's Crisp family.</x:v>
      </x:c>
    </x:row>
    <x:row r="76" ht="34" customHeight="1">
      <x:c r="A76" s="4" t="str">
        <x:v>Pilsner - Italian</x:v>
      </x:c>
      <x:c r="B76" s="4" t="str">
        <x:v>Crisp</x:v>
      </x:c>
      <x:c r="C76" s="5" t="n">
        <x:v>5</x:v>
      </x:c>
      <x:c r="D76" s="6" t="str">
        <x:v>Yes</x:v>
      </x:c>
      <x:c r="E76" s="6" t="str">
        <x:v>High</x:v>
      </x:c>
      <x:c r="F76" s="6"/>
      <x:c r="G76" s="7" t="str">
        <x:v>Clean, refreshing lager/blond/wheat profile; NRG's Crisp family.</x:v>
      </x:c>
    </x:row>
    <x:row r="77" ht="34" customHeight="1">
      <x:c r="A77" s="4" t="str">
        <x:v>Pilsner - Other</x:v>
      </x:c>
      <x:c r="B77" s="4" t="str">
        <x:v>Crisp</x:v>
      </x:c>
      <x:c r="C77" s="5" t="n">
        <x:v>9</x:v>
      </x:c>
      <x:c r="D77" s="6" t="str">
        <x:v>Yes</x:v>
      </x:c>
      <x:c r="E77" s="6" t="str">
        <x:v>High</x:v>
      </x:c>
      <x:c r="F77" s="6"/>
      <x:c r="G77" s="7" t="str">
        <x:v>Clean, refreshing lager/blond/wheat profile; NRG's Crisp family.</x:v>
      </x:c>
    </x:row>
    <x:row r="78" ht="34" customHeight="1">
      <x:c r="A78" s="4" t="str">
        <x:v>Porter - American</x:v>
      </x:c>
      <x:c r="B78" s="4" t="str">
        <x:v>Roast</x:v>
      </x:c>
      <x:c r="C78" s="5" t="n">
        <x:v>3</x:v>
      </x:c>
      <x:c r="D78" s="6" t="str">
        <x:v>Yes</x:v>
      </x:c>
      <x:c r="E78" s="6" t="str">
        <x:v>High</x:v>
      </x:c>
      <x:c r="F78" s="6"/>
      <x:c r="G78" s="7" t="str">
        <x:v>Dark malt, cocoa, coffee, or char-led profile; NRG's Roast family.</x:v>
      </x:c>
    </x:row>
    <x:row r="79" ht="34" customHeight="1">
      <x:c r="A79" s="4" t="str">
        <x:v>Porter - Baltic</x:v>
      </x:c>
      <x:c r="B79" s="4" t="str">
        <x:v>Roast</x:v>
      </x:c>
      <x:c r="C79" s="5" t="n">
        <x:v>1</x:v>
      </x:c>
      <x:c r="D79" s="6" t="str">
        <x:v>Yes</x:v>
      </x:c>
      <x:c r="E79" s="6" t="str">
        <x:v>High</x:v>
      </x:c>
      <x:c r="F79" s="6"/>
      <x:c r="G79" s="7" t="str">
        <x:v>Dark malt, cocoa, coffee, or char-led profile; NRG's Roast family.</x:v>
      </x:c>
    </x:row>
    <x:row r="80" ht="34" customHeight="1">
      <x:c r="A80" s="4" t="str">
        <x:v>Porter - Other</x:v>
      </x:c>
      <x:c r="B80" s="4" t="str">
        <x:v>Roast</x:v>
      </x:c>
      <x:c r="C80" s="5" t="n">
        <x:v>1</x:v>
      </x:c>
      <x:c r="D80" s="6" t="str">
        <x:v>Yes</x:v>
      </x:c>
      <x:c r="E80" s="6" t="str">
        <x:v>High</x:v>
      </x:c>
      <x:c r="F80" s="6"/>
      <x:c r="G80" s="7" t="str">
        <x:v>Dark malt, cocoa, coffee, or char-led profile; NRG's Roast family.</x:v>
      </x:c>
    </x:row>
    <x:row r="81" ht="34" customHeight="1">
      <x:c r="A81" s="4" t="str">
        <x:v>Porter - Smoked</x:v>
      </x:c>
      <x:c r="B81" s="4" t="str">
        <x:v>Smoke</x:v>
      </x:c>
      <x:c r="C81" s="5" t="n">
        <x:v>1</x:v>
      </x:c>
      <x:c r="D81" s="6" t="str">
        <x:v>Yes</x:v>
      </x:c>
      <x:c r="E81" s="6" t="str">
        <x:v>High</x:v>
      </x:c>
      <x:c r="F81" s="6"/>
      <x:c r="G81" s="7" t="str">
        <x:v>Smoked malt is style-defining; NRG's Smoke family.</x:v>
      </x:c>
    </x:row>
    <x:row r="82" ht="34" customHeight="1">
      <x:c r="A82" s="4" t="str">
        <x:v>Pumpkin / Yam Beer</x:v>
      </x:c>
      <x:c r="B82" s="4" t="str">
        <x:v>Fruit &amp; Spice</x:v>
      </x:c>
      <x:c r="C82" s="5" t="n">
        <x:v>1</x:v>
      </x:c>
      <x:c r="D82" s="6" t="str">
        <x:v>Yes</x:v>
      </x:c>
      <x:c r="E82" s="6" t="str">
        <x:v>High</x:v>
      </x:c>
      <x:c r="F82" s="6"/>
      <x:c r="G82" s="7" t="str">
        <x:v>Fermentation- or ingredient-led fruit/spice without sourness as the defining trait.</x:v>
      </x:c>
    </x:row>
    <x:row r="83" ht="34" customHeight="1">
      <x:c r="A83" s="4" t="str">
        <x:v>Rauchbier</x:v>
      </x:c>
      <x:c r="B83" s="4" t="str">
        <x:v>Smoke</x:v>
      </x:c>
      <x:c r="C83" s="5" t="n">
        <x:v>16</x:v>
      </x:c>
      <x:c r="D83" s="6" t="str">
        <x:v>Yes</x:v>
      </x:c>
      <x:c r="E83" s="6" t="str">
        <x:v>High</x:v>
      </x:c>
      <x:c r="F83" s="6"/>
      <x:c r="G83" s="7" t="str">
        <x:v>Smoked malt is style-defining; NRG's Smoke family.</x:v>
      </x:c>
    </x:row>
    <x:row r="84" ht="34" customHeight="1">
      <x:c r="A84" s="4" t="str">
        <x:v>Red Ale - Ambrée</x:v>
      </x:c>
      <x:c r="B84" s="4" t="str">
        <x:v>Malt</x:v>
      </x:c>
      <x:c r="C84" s="5" t="n">
        <x:v>0</x:v>
      </x:c>
      <x:c r="D84" s="6" t="str">
        <x:v>No</x:v>
      </x:c>
      <x:c r="E84" s="6" t="str">
        <x:v>High</x:v>
      </x:c>
      <x:c r="F84" s="6"/>
      <x:c r="G84" s="7" t="str">
        <x:v>Toasty, nutty, caramel, or toffee-led profile; NRG's Malt family.</x:v>
      </x:c>
    </x:row>
    <x:row r="85" ht="34" customHeight="1">
      <x:c r="A85" s="4" t="str">
        <x:v>Red Ale - American Amber / Red</x:v>
      </x:c>
      <x:c r="B85" s="4" t="str">
        <x:v>Hop</x:v>
      </x:c>
      <x:c r="C85" s="5" t="n">
        <x:v>3</x:v>
      </x:c>
      <x:c r="D85" s="6" t="str">
        <x:v>Yes</x:v>
      </x:c>
      <x:c r="E85" s="6" t="str">
        <x:v>High</x:v>
      </x:c>
      <x:c r="F85" s="6"/>
      <x:c r="G85" s="7" t="str">
        <x:v>Hop aroma or bitterness is the defining flavor; NRG's Hop family.</x:v>
      </x:c>
    </x:row>
    <x:row r="86" ht="34" customHeight="1">
      <x:c r="A86" s="4" t="str">
        <x:v>Red Ale - Irish</x:v>
      </x:c>
      <x:c r="B86" s="4" t="str">
        <x:v>Malt</x:v>
      </x:c>
      <x:c r="C86" s="5" t="n">
        <x:v>1</x:v>
      </x:c>
      <x:c r="D86" s="6" t="str">
        <x:v>Yes</x:v>
      </x:c>
      <x:c r="E86" s="6" t="str">
        <x:v>High</x:v>
      </x:c>
      <x:c r="F86" s="6"/>
      <x:c r="G86" s="7" t="str">
        <x:v>Toasty, nutty, caramel, or toffee-led profile; NRG's Malt family.</x:v>
      </x:c>
    </x:row>
    <x:row r="87" ht="34" customHeight="1">
      <x:c r="A87" s="4" t="str">
        <x:v>Schwarzbier</x:v>
      </x:c>
      <x:c r="B87" s="4" t="str">
        <x:v>Roast</x:v>
      </x:c>
      <x:c r="C87" s="5" t="n">
        <x:v>2</x:v>
      </x:c>
      <x:c r="D87" s="6" t="str">
        <x:v>Yes</x:v>
      </x:c>
      <x:c r="E87" s="6" t="str">
        <x:v>High</x:v>
      </x:c>
      <x:c r="F87" s="6"/>
      <x:c r="G87" s="7" t="str">
        <x:v>Dark malt, cocoa, coffee, or char-led profile; NRG's Roast family.</x:v>
      </x:c>
    </x:row>
    <x:row r="88" ht="34" customHeight="1">
      <x:c r="A88" s="4" t="str">
        <x:v>Scotch Ale / Wee Heavy</x:v>
      </x:c>
      <x:c r="B88" s="4" t="str">
        <x:v>Malt</x:v>
      </x:c>
      <x:c r="C88" s="5" t="n">
        <x:v>1</x:v>
      </x:c>
      <x:c r="D88" s="6" t="str">
        <x:v>Yes</x:v>
      </x:c>
      <x:c r="E88" s="6" t="str">
        <x:v>High</x:v>
      </x:c>
      <x:c r="F88" s="6"/>
      <x:c r="G88" s="7" t="str">
        <x:v>Toasty, nutty, caramel, or toffee-led profile; NRG's Malt family.</x:v>
      </x:c>
    </x:row>
    <x:row r="89" ht="34" customHeight="1">
      <x:c r="A89" s="4" t="str">
        <x:v>Smoked Beer</x:v>
      </x:c>
      <x:c r="B89" s="4" t="str">
        <x:v>Smoke</x:v>
      </x:c>
      <x:c r="C89" s="5" t="n">
        <x:v>3</x:v>
      </x:c>
      <x:c r="D89" s="6" t="str">
        <x:v>Yes</x:v>
      </x:c>
      <x:c r="E89" s="6" t="str">
        <x:v>High</x:v>
      </x:c>
      <x:c r="F89" s="6"/>
      <x:c r="G89" s="7" t="str">
        <x:v>Smoked malt is style-defining; NRG's Smoke family.</x:v>
      </x:c>
    </x:row>
    <x:row r="90" ht="34" customHeight="1">
      <x:c r="A90" s="4" t="str">
        <x:v>Sour - Berliner Weisse</x:v>
      </x:c>
      <x:c r="B90" s="4" t="str">
        <x:v>Tart &amp; Funky</x:v>
      </x:c>
      <x:c r="C90" s="5" t="n">
        <x:v>2</x:v>
      </x:c>
      <x:c r="D90" s="6" t="str">
        <x:v>Yes</x:v>
      </x:c>
      <x:c r="E90" s="6" t="str">
        <x:v>High</x:v>
      </x:c>
      <x:c r="F90" s="6"/>
      <x:c r="G90" s="7" t="str">
        <x:v>Acidity, Brett, mixed/spontaneous fermentation, or lambic character defines the style.</x:v>
      </x:c>
    </x:row>
    <x:row r="91" ht="34" customHeight="1">
      <x:c r="A91" s="4" t="str">
        <x:v>Sour - Flanders Red Ale</x:v>
      </x:c>
      <x:c r="B91" s="4" t="str">
        <x:v>Tart &amp; Funky</x:v>
      </x:c>
      <x:c r="C91" s="5" t="n">
        <x:v>2</x:v>
      </x:c>
      <x:c r="D91" s="6" t="str">
        <x:v>Yes</x:v>
      </x:c>
      <x:c r="E91" s="6" t="str">
        <x:v>High</x:v>
      </x:c>
      <x:c r="F91" s="6"/>
      <x:c r="G91" s="7" t="str">
        <x:v>Acidity, Brett, mixed/spontaneous fermentation, or lambic character defines the style.</x:v>
      </x:c>
    </x:row>
    <x:row r="92" ht="34" customHeight="1">
      <x:c r="A92" s="4" t="str">
        <x:v>Sour - Fruited</x:v>
      </x:c>
      <x:c r="B92" s="4" t="str">
        <x:v>Tart &amp; Funky</x:v>
      </x:c>
      <x:c r="C92" s="5" t="n">
        <x:v>5</x:v>
      </x:c>
      <x:c r="D92" s="6" t="str">
        <x:v>Yes</x:v>
      </x:c>
      <x:c r="E92" s="6" t="str">
        <x:v>High</x:v>
      </x:c>
      <x:c r="F92" s="6"/>
      <x:c r="G92" s="7" t="str">
        <x:v>Acidity, Brett, mixed/spontaneous fermentation, or lambic character defines the style.</x:v>
      </x:c>
    </x:row>
    <x:row r="93" ht="34" customHeight="1">
      <x:c r="A93" s="4" t="str">
        <x:v>Sour - Fruited Berliner Weisse</x:v>
      </x:c>
      <x:c r="B93" s="4" t="str">
        <x:v>Tart &amp; Funky</x:v>
      </x:c>
      <x:c r="C93" s="5" t="n">
        <x:v>2</x:v>
      </x:c>
      <x:c r="D93" s="6" t="str">
        <x:v>Yes</x:v>
      </x:c>
      <x:c r="E93" s="6" t="str">
        <x:v>High</x:v>
      </x:c>
      <x:c r="F93" s="6"/>
      <x:c r="G93" s="7" t="str">
        <x:v>Acidity, Brett, mixed/spontaneous fermentation, or lambic character defines the style.</x:v>
      </x:c>
    </x:row>
    <x:row r="94" ht="34" customHeight="1">
      <x:c r="A94" s="4" t="str">
        <x:v>Sour - Fruited Gose</x:v>
      </x:c>
      <x:c r="B94" s="4" t="str">
        <x:v>Tart &amp; Funky</x:v>
      </x:c>
      <x:c r="C94" s="5" t="n">
        <x:v>9</x:v>
      </x:c>
      <x:c r="D94" s="6" t="str">
        <x:v>Yes</x:v>
      </x:c>
      <x:c r="E94" s="6" t="str">
        <x:v>High</x:v>
      </x:c>
      <x:c r="F94" s="6"/>
      <x:c r="G94" s="7" t="str">
        <x:v>Acidity, Brett, mixed/spontaneous fermentation, or lambic character defines the style.</x:v>
      </x:c>
    </x:row>
    <x:row r="95" ht="34" customHeight="1">
      <x:c r="A95" s="4" t="str">
        <x:v>Sour - Other</x:v>
      </x:c>
      <x:c r="B95" s="4" t="str">
        <x:v>Tart &amp; Funky</x:v>
      </x:c>
      <x:c r="C95" s="5" t="n">
        <x:v>1</x:v>
      </x:c>
      <x:c r="D95" s="6" t="str">
        <x:v>Yes</x:v>
      </x:c>
      <x:c r="E95" s="6" t="str">
        <x:v>High</x:v>
      </x:c>
      <x:c r="F95" s="6"/>
      <x:c r="G95" s="7" t="str">
        <x:v>Acidity, Brett, mixed/spontaneous fermentation, or lambic character defines the style.</x:v>
      </x:c>
    </x:row>
    <x:row r="96" ht="34" customHeight="1">
      <x:c r="A96" s="4" t="str">
        <x:v>Stout - American</x:v>
      </x:c>
      <x:c r="B96" s="4" t="str">
        <x:v>Roast</x:v>
      </x:c>
      <x:c r="C96" s="5" t="n">
        <x:v>1</x:v>
      </x:c>
      <x:c r="D96" s="6" t="str">
        <x:v>Yes</x:v>
      </x:c>
      <x:c r="E96" s="6" t="str">
        <x:v>High</x:v>
      </x:c>
      <x:c r="F96" s="6"/>
      <x:c r="G96" s="7" t="str">
        <x:v>Dark malt, cocoa, coffee, or char-led profile; NRG's Roast family.</x:v>
      </x:c>
    </x:row>
    <x:row r="97" ht="34" customHeight="1">
      <x:c r="A97" s="4" t="str">
        <x:v>Stout - Coffee</x:v>
      </x:c>
      <x:c r="B97" s="4" t="str">
        <x:v>Roast</x:v>
      </x:c>
      <x:c r="C97" s="5" t="n">
        <x:v>2</x:v>
      </x:c>
      <x:c r="D97" s="6" t="str">
        <x:v>Yes</x:v>
      </x:c>
      <x:c r="E97" s="6" t="str">
        <x:v>High</x:v>
      </x:c>
      <x:c r="F97" s="6"/>
      <x:c r="G97" s="7" t="str">
        <x:v>Dark malt, cocoa, coffee, or char-led profile; NRG's Roast family.</x:v>
      </x:c>
    </x:row>
    <x:row r="98" ht="34" customHeight="1">
      <x:c r="A98" s="4" t="str">
        <x:v>Stout - English</x:v>
      </x:c>
      <x:c r="B98" s="4" t="str">
        <x:v>Roast</x:v>
      </x:c>
      <x:c r="C98" s="5" t="n">
        <x:v>1</x:v>
      </x:c>
      <x:c r="D98" s="6" t="str">
        <x:v>Yes</x:v>
      </x:c>
      <x:c r="E98" s="6" t="str">
        <x:v>High</x:v>
      </x:c>
      <x:c r="F98" s="6"/>
      <x:c r="G98" s="7" t="str">
        <x:v>Dark malt, cocoa, coffee, or char-led profile; NRG's Roast family.</x:v>
      </x:c>
    </x:row>
    <x:row r="99" ht="34" customHeight="1">
      <x:c r="A99" s="4" t="str">
        <x:v>Stout - Foreign / Export</x:v>
      </x:c>
      <x:c r="B99" s="4" t="str">
        <x:v>Roast</x:v>
      </x:c>
      <x:c r="C99" s="5" t="n">
        <x:v>1</x:v>
      </x:c>
      <x:c r="D99" s="6" t="str">
        <x:v>Yes</x:v>
      </x:c>
      <x:c r="E99" s="6" t="str">
        <x:v>High</x:v>
      </x:c>
      <x:c r="F99" s="6"/>
      <x:c r="G99" s="7" t="str">
        <x:v>Dark malt, cocoa, coffee, or char-led profile; NRG's Roast family.</x:v>
      </x:c>
    </x:row>
    <x:row r="100" ht="34" customHeight="1">
      <x:c r="A100" s="4" t="str">
        <x:v>Stout - Imperial / Double</x:v>
      </x:c>
      <x:c r="B100" s="4" t="str">
        <x:v>Roast</x:v>
      </x:c>
      <x:c r="C100" s="5" t="n">
        <x:v>9</x:v>
      </x:c>
      <x:c r="D100" s="6" t="str">
        <x:v>Yes</x:v>
      </x:c>
      <x:c r="E100" s="6" t="str">
        <x:v>High</x:v>
      </x:c>
      <x:c r="F100" s="6"/>
      <x:c r="G100" s="7" t="str">
        <x:v>Dark malt, cocoa, coffee, or char-led profile; NRG's Roast family.</x:v>
      </x:c>
    </x:row>
    <x:row r="101" ht="34" customHeight="1">
      <x:c r="A101" s="4" t="str">
        <x:v>Stout - Imperial / Double Coffee</x:v>
      </x:c>
      <x:c r="B101" s="4" t="str">
        <x:v>Roast</x:v>
      </x:c>
      <x:c r="C101" s="5" t="n">
        <x:v>8</x:v>
      </x:c>
      <x:c r="D101" s="6" t="str">
        <x:v>Yes</x:v>
      </x:c>
      <x:c r="E101" s="6" t="str">
        <x:v>High</x:v>
      </x:c>
      <x:c r="F101" s="6"/>
      <x:c r="G101" s="7" t="str">
        <x:v>Dark malt, cocoa, coffee, or char-led profile; NRG's Roast family.</x:v>
      </x:c>
    </x:row>
    <x:row r="102" ht="34" customHeight="1">
      <x:c r="A102" s="4" t="str">
        <x:v>Stout - Imperial / Double Milk</x:v>
      </x:c>
      <x:c r="B102" s="4" t="str">
        <x:v>Roast</x:v>
      </x:c>
      <x:c r="C102" s="5" t="n">
        <x:v>4</x:v>
      </x:c>
      <x:c r="D102" s="6" t="str">
        <x:v>Yes</x:v>
      </x:c>
      <x:c r="E102" s="6" t="str">
        <x:v>High</x:v>
      </x:c>
      <x:c r="F102" s="6"/>
      <x:c r="G102" s="7" t="str">
        <x:v>Dark malt, cocoa, coffee, or char-led profile; NRG's Roast family.</x:v>
      </x:c>
    </x:row>
    <x:row r="103" ht="34" customHeight="1">
      <x:c r="A103" s="4" t="str">
        <x:v>Stout - Imperial / Double Pastry</x:v>
      </x:c>
      <x:c r="B103" s="4" t="str">
        <x:v>Roast</x:v>
      </x:c>
      <x:c r="C103" s="5" t="n">
        <x:v>1</x:v>
      </x:c>
      <x:c r="D103" s="6" t="str">
        <x:v>Yes</x:v>
      </x:c>
      <x:c r="E103" s="6" t="str">
        <x:v>High</x:v>
      </x:c>
      <x:c r="F103" s="6"/>
      <x:c r="G103" s="7" t="str">
        <x:v>Dark malt, cocoa, coffee, or char-led profile; NRG's Roast family.</x:v>
      </x:c>
    </x:row>
    <x:row r="104" ht="34" customHeight="1">
      <x:c r="A104" s="4" t="str">
        <x:v>Stout - Irish Dry</x:v>
      </x:c>
      <x:c r="B104" s="4" t="str">
        <x:v>Roast</x:v>
      </x:c>
      <x:c r="C104" s="5" t="n">
        <x:v>2</x:v>
      </x:c>
      <x:c r="D104" s="6" t="str">
        <x:v>Yes</x:v>
      </x:c>
      <x:c r="E104" s="6" t="str">
        <x:v>High</x:v>
      </x:c>
      <x:c r="F104" s="6"/>
      <x:c r="G104" s="7" t="str">
        <x:v>Dark malt, cocoa, coffee, or char-led profile; NRG's Roast family.</x:v>
      </x:c>
    </x:row>
    <x:row r="105" ht="34" customHeight="1">
      <x:c r="A105" s="4" t="str">
        <x:v>Stout - Milk / Sweet</x:v>
      </x:c>
      <x:c r="B105" s="4" t="str">
        <x:v>Roast</x:v>
      </x:c>
      <x:c r="C105" s="5" t="n">
        <x:v>2</x:v>
      </x:c>
      <x:c r="D105" s="6" t="str">
        <x:v>Yes</x:v>
      </x:c>
      <x:c r="E105" s="6" t="str">
        <x:v>High</x:v>
      </x:c>
      <x:c r="F105" s="6"/>
      <x:c r="G105" s="7" t="str">
        <x:v>Dark malt, cocoa, coffee, or char-led profile; NRG's Roast family.</x:v>
      </x:c>
    </x:row>
    <x:row r="106" ht="34" customHeight="1">
      <x:c r="A106" s="4" t="str">
        <x:v>Stout - Oatmeal</x:v>
      </x:c>
      <x:c r="B106" s="4" t="str">
        <x:v>Roast</x:v>
      </x:c>
      <x:c r="C106" s="5" t="n">
        <x:v>1</x:v>
      </x:c>
      <x:c r="D106" s="6" t="str">
        <x:v>Yes</x:v>
      </x:c>
      <x:c r="E106" s="6" t="str">
        <x:v>High</x:v>
      </x:c>
      <x:c r="F106" s="6"/>
      <x:c r="G106" s="7" t="str">
        <x:v>Dark malt, cocoa, coffee, or char-led profile; NRG's Roast family.</x:v>
      </x:c>
    </x:row>
    <x:row r="107" ht="34" customHeight="1">
      <x:c r="A107" s="4" t="str">
        <x:v>Stout - Russian Imperial</x:v>
      </x:c>
      <x:c r="B107" s="4" t="str">
        <x:v>Roast</x:v>
      </x:c>
      <x:c r="C107" s="5" t="n">
        <x:v>1</x:v>
      </x:c>
      <x:c r="D107" s="6" t="str">
        <x:v>Yes</x:v>
      </x:c>
      <x:c r="E107" s="6" t="str">
        <x:v>High</x:v>
      </x:c>
      <x:c r="F107" s="6"/>
      <x:c r="G107" s="7" t="str">
        <x:v>Dark malt, cocoa, coffee, or char-led profile; NRG's Roast family.</x:v>
      </x:c>
    </x:row>
    <x:row r="108" ht="34" customHeight="1">
      <x:c r="A108" s="4" t="str">
        <x:v>Table Beer</x:v>
      </x:c>
      <x:c r="B108" s="4" t="str">
        <x:v>Tart &amp; Funky</x:v>
      </x:c>
      <x:c r="C108" s="5" t="n">
        <x:v>2</x:v>
      </x:c>
      <x:c r="D108" s="6" t="str">
        <x:v>Yes</x:v>
      </x:c>
      <x:c r="E108" s="6" t="str">
        <x:v>Medium</x:v>
      </x:c>
      <x:c r="F108" s="6" t="str">
        <x:v>Fruit &amp; Spice</x:v>
      </x:c>
      <x:c r="G108" s="7" t="str">
        <x:v>Current ChurchKey menus place mixed-fermentation table beer under Tart &amp; Funky; clean Belgian table beer can be Fruit &amp; Spice.</x:v>
      </x:c>
    </x:row>
    <x:row r="109" ht="34" customHeight="1">
      <x:c r="A109" s="4" t="str">
        <x:v>Wheat Beer - American Pale Wheat</x:v>
      </x:c>
      <x:c r="B109" s="4" t="str">
        <x:v>Crisp</x:v>
      </x:c>
      <x:c r="C109" s="5" t="n">
        <x:v>2</x:v>
      </x:c>
      <x:c r="D109" s="6" t="str">
        <x:v>Yes</x:v>
      </x:c>
      <x:c r="E109" s="6" t="str">
        <x:v>High</x:v>
      </x:c>
      <x:c r="F109" s="6"/>
      <x:c r="G109" s="7" t="str">
        <x:v>Clean, refreshing lager/blond/wheat profile; NRG's Crisp family.</x:v>
      </x:c>
    </x:row>
    <x:row r="110" ht="34" customHeight="1">
      <x:c r="A110" s="4" t="str">
        <x:v>Wheat Beer - Hefeweizen</x:v>
      </x:c>
      <x:c r="B110" s="4" t="str">
        <x:v>Fruit &amp; Spice</x:v>
      </x:c>
      <x:c r="C110" s="5" t="n">
        <x:v>10</x:v>
      </x:c>
      <x:c r="D110" s="6" t="str">
        <x:v>Yes</x:v>
      </x:c>
      <x:c r="E110" s="6" t="str">
        <x:v>High</x:v>
      </x:c>
      <x:c r="F110" s="6"/>
      <x:c r="G110" s="7" t="str">
        <x:v>Fermentation- or ingredient-led fruit/spice without sourness as the defining trait.</x:v>
      </x:c>
    </x:row>
    <x:row r="111" ht="34" customHeight="1">
      <x:c r="A111" s="4" t="str">
        <x:v>Wheat Beer - Kristallweizen</x:v>
      </x:c>
      <x:c r="B111" s="4" t="str">
        <x:v>Fruit &amp; Spice</x:v>
      </x:c>
      <x:c r="C111" s="5" t="n">
        <x:v>1</x:v>
      </x:c>
      <x:c r="D111" s="6" t="str">
        <x:v>Yes</x:v>
      </x:c>
      <x:c r="E111" s="6" t="str">
        <x:v>High</x:v>
      </x:c>
      <x:c r="F111" s="6"/>
      <x:c r="G111" s="7" t="str">
        <x:v>Fermentation- or ingredient-led fruit/spice without sourness as the defining trait.</x:v>
      </x:c>
    </x:row>
    <x:row r="112" ht="34" customHeight="1">
      <x:c r="A112" s="4" t="str">
        <x:v>Wheat Beer - Witbier / Blanche</x:v>
      </x:c>
      <x:c r="B112" s="4" t="str">
        <x:v>Fruit &amp; Spice</x:v>
      </x:c>
      <x:c r="C112" s="5" t="n">
        <x:v>7</x:v>
      </x:c>
      <x:c r="D112" s="6" t="str">
        <x:v>Yes</x:v>
      </x:c>
      <x:c r="E112" s="6" t="str">
        <x:v>High</x:v>
      </x:c>
      <x:c r="F112" s="6"/>
      <x:c r="G112" s="7" t="str">
        <x:v>Fermentation- or ingredient-led fruit/spice without sourness as the defining trait.</x:v>
      </x:c>
    </x:row>
    <x:row r="113" ht="34" customHeight="1">
      <x:c r="A113" s="4" t="str">
        <x:v>Wild Ale - American</x:v>
      </x:c>
      <x:c r="B113" s="4" t="str">
        <x:v>Tart &amp; Funky</x:v>
      </x:c>
      <x:c r="C113" s="5" t="n">
        <x:v>5</x:v>
      </x:c>
      <x:c r="D113" s="6" t="str">
        <x:v>Yes</x:v>
      </x:c>
      <x:c r="E113" s="6" t="str">
        <x:v>High</x:v>
      </x:c>
      <x:c r="F113" s="6"/>
      <x:c r="G113" s="7" t="str">
        <x:v>Acidity, Brett, mixed/spontaneous fermentation, or lambic character defines the style.</x:v>
      </x:c>
    </x:row>
    <x:row r="114" ht="34" customHeight="1">
      <x:c r="A114" s="4" t="str">
        <x:v>Wild Ale - Other</x:v>
      </x:c>
      <x:c r="B114" s="4" t="str">
        <x:v>Tart &amp; Funky</x:v>
      </x:c>
      <x:c r="C114" s="5" t="n">
        <x:v>2</x:v>
      </x:c>
      <x:c r="D114" s="6" t="str">
        <x:v>Yes</x:v>
      </x:c>
      <x:c r="E114" s="6" t="str">
        <x:v>High</x:v>
      </x:c>
      <x:c r="F114" s="6"/>
      <x:c r="G114" s="7" t="str">
        <x:v>Acidity, Brett, mixed/spontaneous fermentation, or lambic character defines the style.</x:v>
      </x:c>
    </x:row>
    <x:row r="115">
      <x:c r="A115" t="str">
        <x:v>Winter Ale</x:v>
      </x:c>
      <x:c r="B115" t="str">
        <x:v>Fruit &amp; Spice</x:v>
      </x:c>
      <x:c r="C115" t="n">
        <x:v>1</x:v>
      </x:c>
      <x:c r="D115" t="str">
        <x:v>Yes</x:v>
      </x:c>
      <x:c r="E115" t="str">
        <x:v>Medium</x:v>
      </x:c>
      <x:c r="F115" t="str">
        <x:v>Malt</x:v>
      </x:c>
      <x:c r="G115" t="str">
        <x:v>Default follows NRG's spiced Belgian winter examples; unspiced, caramel-led winter ale belongs in Malt.</x:v>
      </x:c>
    </x:row>
  </x:sheetData>
  <x:conditionalFormatting sqref="B2:B114">
    <x:cfRule type="containsText" dxfId="0" priority="1" operator="containsText" text="Crisp"/>
    <x:cfRule type="containsText" dxfId="1" priority="2" operator="containsText" text="Hop"/>
    <x:cfRule type="containsText" dxfId="2" priority="3" operator="containsText" text="Malt"/>
    <x:cfRule type="containsText" dxfId="3" priority="4" operator="containsText" text="Roast"/>
    <x:cfRule type="containsText" dxfId="4" priority="5" operator="containsText" text="Smoke"/>
    <x:cfRule type="containsText" dxfId="5" priority="6" operator="containsText" text="Fruit &amp; Spice"/>
    <x:cfRule type="containsText" dxfId="6" priority="7" operator="containsText" text="Tart &amp; Funky"/>
    <x:cfRule type="containsText" dxfId="7" priority="8" operator="containsText" text="Recipe-dependent"/>
  </x:conditionalFormatting>
  <x:conditionalFormatting sqref="E2:E114">
    <x:cfRule type="containsText" dxfId="8" priority="9" operator="containsText" text="Low"/>
    <x:cfRule type="containsText" dxfId="9" priority="10" operator="containsText" text="Medium"/>
  </x:conditionalFormatting>
  <x:dataValidations count="1">
    <x:dataValidation type="list" sqref="B2:B114">
      <x:formula1>"Crisp,Hop,Malt,Roast,Smoke,Fruit &amp; Spice,Tart &amp; Funky,Recipe-dependent"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e538c0c5af4a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5" hidden="0" customWidth="1"/>
    <x:col min="3" max="3" width="31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76" hidden="0" customWidth="1"/>
    <x:col min="9" max="9" width="52" hidden="0" customWidth="1"/>
    <x:col min="10" max="10" width="52" hidden="0" customWidth="1"/>
  </x:cols>
  <x:sheetData>
    <x:row r="1" ht="30" customHeight="1">
      <x:c r="A1" s="9" t="str">
        <x:v>Beer</x:v>
      </x:c>
      <x:c r="B1" s="9" t="str">
        <x:v>Brewery</x:v>
      </x:c>
      <x:c r="C1" s="9" t="str">
        <x:v>Untappd Style</x:v>
      </x:c>
      <x:c r="D1" s="9" t="str">
        <x:v>Style Default</x:v>
      </x:c>
      <x:c r="E1" s="9" t="str">
        <x:v>Final Family</x:v>
      </x:c>
      <x:c r="F1" s="9" t="str">
        <x:v>Override?</x:v>
      </x:c>
      <x:c r="G1" s="9" t="str">
        <x:v>Confidence</x:v>
      </x:c>
      <x:c r="H1" s="9" t="str">
        <x:v>Beer-level Evidence</x:v>
      </x:c>
      <x:c r="I1" s="9" t="str">
        <x:v>Untappd URL</x:v>
      </x:c>
      <x:c r="J1" s="9" t="str">
        <x:v>Supplemental Source</x:v>
      </x:c>
    </x:row>
    <x:row r="2" ht="56" customHeight="1">
      <x:c r="A2" s="10" t="str">
        <x:v>La Salamandre</x:v>
      </x:c>
      <x:c r="B2" s="10" t="str">
        <x:v>Brasserie des Franches-Montagnes (BFM)</x:v>
      </x:c>
      <x:c r="C2" s="10" t="str">
        <x:v>Farmhouse Ale - Bière de Garde</x:v>
      </x:c>
      <x:c r="D2" s="12" t="str">
        <x:v>Malt</x:v>
      </x:c>
      <x:c r="E2" s="12" t="str">
        <x:v>Fruit &amp; Spice</x:v>
      </x:c>
      <x:c r="F2" s="12" t="str">
        <x:f>IF(D2=E2,"No","Yes")</x:f>
        <x:v>Yes</x:v>
      </x:c>
      <x:c r="G2" s="12" t="str">
        <x:v>High</x:v>
      </x:c>
      <x:c r="H2" s="11" t="str">
        <x:v>BFM describes a fresh, spicy wheat beer with floral/yeast character, orange, and only mild acidity; fruit-and-spice character leads over malt.</x:v>
      </x:c>
      <x:c r="I2" s="11" t="str">
        <x:v>https://untappd.com/b/brasserie-des-franches-montagnes-bfm-la-salamandre/95382</x:v>
      </x:c>
      <x:c r="J2" s="11" t="str">
        <x:v>https://www.brasseriebfm.ch/fr/products/1/5</x:v>
      </x:c>
    </x:row>
    <x:row r="3" ht="56" customHeight="1">
      <x:c r="A3" s="10" t="str">
        <x:v>OxtoberFest</x:v>
      </x:c>
      <x:c r="B3" s="10" t="str">
        <x:v>Oxbow Brewing Company</x:v>
      </x:c>
      <x:c r="C3" s="10" t="str">
        <x:v>Farmhouse Ale - Bière de Garde</x:v>
      </x:c>
      <x:c r="D3" s="12" t="str">
        <x:v>Malt</x:v>
      </x:c>
      <x:c r="E3" s="12" t="str">
        <x:v>Malt</x:v>
      </x:c>
      <x:c r="F3" s="12" t="str">
        <x:f>IF(D3=E3,"No","Yes")</x:f>
        <x:v>No</x:v>
      </x:c>
      <x:c r="G3" s="12" t="str">
        <x:v>High</x:v>
      </x:c>
      <x:c r="H3" s="11" t="str">
        <x:v>Farmhouse festbier with a creamy, dry malt body; smoke is a hint rather than the organizing flavor.</x:v>
      </x:c>
      <x:c r="I3" s="11" t="str">
        <x:v>https://untappd.com/b/oxbow-brewing-company-oxtoberfest/87492</x:v>
      </x:c>
      <x:c r="J3" s="11" t="str"/>
    </x:row>
    <x:row r="4" ht="56" customHeight="1">
      <x:c r="A4" s="10" t="str">
        <x:v>Grizzette</x:v>
      </x:c>
      <x:c r="B4" s="10" t="str">
        <x:v>Elder Pine Brewing &amp; Blending</x:v>
      </x:c>
      <x:c r="C4" s="10" t="str">
        <x:v>Farmhouse Ale - Grisette</x:v>
      </x:c>
      <x:c r="D4" s="12" t="str">
        <x:v>Tart &amp; Funky</x:v>
      </x:c>
      <x:c r="E4" s="12" t="str">
        <x:v>Fruit &amp; Spice</x:v>
      </x:c>
      <x:c r="F4" s="12" t="str">
        <x:f>IF(D4=E4,"No","Yes")</x:f>
        <x:v>Yes</x:v>
      </x:c>
      <x:c r="G4" s="12" t="str">
        <x:v>High</x:v>
      </x:c>
      <x:c r="H4" s="11" t="str">
        <x:v>House saison yeast supplies mango, apricot, banana, bubblegum, and citrus; no Brett, mixed fermentation, or souring is stated.</x:v>
      </x:c>
      <x:c r="I4" s="11" t="str">
        <x:v>https://untappd.com/b/elder-pine-brewing-and-blending-grizzette/3782613</x:v>
      </x:c>
      <x:c r="J4" s="11" t="str"/>
    </x:row>
    <x:row r="5" ht="56" customHeight="1">
      <x:c r="A5" s="10" t="str">
        <x:v>Blue Noir</x:v>
      </x:c>
      <x:c r="B5" s="10" t="str">
        <x:v>Oxbow Brewing Company</x:v>
      </x:c>
      <x:c r="C5" s="10" t="str">
        <x:v>Farmhouse Ale - Other</x:v>
      </x:c>
      <x:c r="D5" s="12" t="str">
        <x:v>Fruit &amp; Spice</x:v>
      </x:c>
      <x:c r="E5" s="12" t="str">
        <x:v>Tart &amp; Funky</x:v>
      </x:c>
      <x:c r="F5" s="12" t="str">
        <x:f>IF(D5=E5,"No","Yes")</x:f>
        <x:v>Yes</x:v>
      </x:c>
      <x:c r="G5" s="12" t="str">
        <x:v>High</x:v>
      </x:c>
      <x:c r="H5" s="11" t="str">
        <x:v>Mixed-fermentation farmhouse ale with blueberries and Pinot Noir grape juice.</x:v>
      </x:c>
      <x:c r="I5" s="11" t="str">
        <x:v>https://untappd.com/b/oxbow-brewing-company-blue-noir/3929960</x:v>
      </x:c>
      <x:c r="J5" s="11" t="str"/>
    </x:row>
    <x:row r="6" ht="56" customHeight="1">
      <x:c r="A6" s="10" t="str">
        <x:v>Push</x:v>
      </x:c>
      <x:c r="B6" s="10" t="str">
        <x:v>The Veil Brewing Co.</x:v>
      </x:c>
      <x:c r="C6" s="10" t="str">
        <x:v>Farmhouse Ale - Other</x:v>
      </x:c>
      <x:c r="D6" s="12" t="str">
        <x:v>Fruit &amp; Spice</x:v>
      </x:c>
      <x:c r="E6" s="12" t="str">
        <x:v>Tart &amp; Funky</x:v>
      </x:c>
      <x:c r="F6" s="12" t="str">
        <x:f>IF(D6=E6,"No","Yes")</x:f>
        <x:v>Yes</x:v>
      </x:c>
      <x:c r="G6" s="12" t="str">
        <x:v>High</x:v>
      </x:c>
      <x:c r="H6" s="11" t="str">
        <x:v>Blend led by oak-aged mixed-fermentation saison, with fresh lager as the minority component.</x:v>
      </x:c>
      <x:c r="I6" s="11" t="str">
        <x:v>https://untappd.com/b/the-veil-brewing-co-push/4621974</x:v>
      </x:c>
      <x:c r="J6" s="11" t="str"/>
    </x:row>
    <x:row r="7" ht="56" customHeight="1">
      <x:c r="A7" s="10" t="str">
        <x:v>Farmers Only</x:v>
      </x:c>
      <x:c r="B7" s="10" t="str">
        <x:v>Coastal Fermentory</x:v>
      </x:c>
      <x:c r="C7" s="10" t="str">
        <x:v>Farmhouse Ale - Saison</x:v>
      </x:c>
      <x:c r="D7" s="12" t="str">
        <x:v>Tart &amp; Funky</x:v>
      </x:c>
      <x:c r="E7" s="12" t="str">
        <x:v>Tart &amp; Funky</x:v>
      </x:c>
      <x:c r="F7" s="12" t="str">
        <x:f>IF(D7=E7,"No","Yes")</x:f>
        <x:v>No</x:v>
      </x:c>
      <x:c r="G7" s="12" t="str">
        <x:v>High</x:v>
      </x:c>
      <x:c r="H7" s="11" t="str">
        <x:v>Manual second-pass decision applies the revised Tart &amp; Funky default for Farmhouse Ale - Saison.</x:v>
      </x:c>
      <x:c r="I7" s="11" t="str">
        <x:v>https://untappd.com/b/coastal-fermentory-farmers-only/4367013</x:v>
      </x:c>
      <x:c r="J7" s="11" t="str">
        <x:v>https://www.beermenus.com/breweries/28659-coastal-fermentory</x:v>
      </x:c>
    </x:row>
    <x:row r="8" ht="56" customHeight="1">
      <x:c r="A8" s="10" t="str">
        <x:v>Growing Light</x:v>
      </x:c>
      <x:c r="B8" s="10" t="str">
        <x:v>Forest &amp; Main Brewing Company</x:v>
      </x:c>
      <x:c r="C8" s="10" t="str">
        <x:v>Farmhouse Ale - Saison</x:v>
      </x:c>
      <x:c r="D8" s="12" t="str">
        <x:v>Tart &amp; Funky</x:v>
      </x:c>
      <x:c r="E8" s="12" t="str">
        <x:v>Fruit &amp; Spice</x:v>
      </x:c>
      <x:c r="F8" s="12" t="str">
        <x:f>IF(D8=E8,"No","Yes")</x:f>
        <x:v>Yes</x:v>
      </x:c>
      <x:c r="G8" s="12" t="str">
        <x:v>High</x:v>
      </x:c>
      <x:c r="H8" s="11" t="str">
        <x:v>Manual second-pass exception: its expressive fruit-and-spice fermentation profile places it in Fruit &amp; Spice despite the revised Saison default.</x:v>
      </x:c>
      <x:c r="I8" s="11" t="str">
        <x:v>https://untappd.com/b/forest-and-main-brewing-company-growing-light/5736536</x:v>
      </x:c>
      <x:c r="J8" s="11" t="str">
        <x:v>https://www.pelliclemag.com/home/2021/7/12/from-house-to-home-forest-amp-main-brewing-company-ambler-pennsylvania</x:v>
      </x:c>
    </x:row>
    <x:row r="9" ht="56" customHeight="1">
      <x:c r="A9" s="10" t="str">
        <x:v>Lodestar (Batch 4)</x:v>
      </x:c>
      <x:c r="B9" s="10" t="str">
        <x:v>Freak Folk Bier</x:v>
      </x:c>
      <x:c r="C9" s="10" t="str">
        <x:v>Farmhouse Ale - Saison</x:v>
      </x:c>
      <x:c r="D9" s="12" t="str">
        <x:v>Tart &amp; Funky</x:v>
      </x:c>
      <x:c r="E9" s="12" t="str">
        <x:v>Tart &amp; Funky</x:v>
      </x:c>
      <x:c r="F9" s="12" t="str">
        <x:f>IF(D9=E9,"No","Yes")</x:f>
        <x:v>No</x:v>
      </x:c>
      <x:c r="G9" s="12" t="str">
        <x:v>High</x:v>
      </x:c>
      <x:c r="H9" s="11" t="str">
        <x:v>Farmhouse ale fermented in oak with a mixed culture.</x:v>
      </x:c>
      <x:c r="I9" s="11" t="str">
        <x:v>https://untappd.com/b/freak-folk-bier-lodestar-batch-4/5243338</x:v>
      </x:c>
      <x:c r="J9" s="11" t="str">
        <x:v>https://www.freakfolkbier.com/portfolio</x:v>
      </x:c>
    </x:row>
    <x:row r="10" ht="56" customHeight="1">
      <x:c r="A10" s="10" t="str">
        <x:v>Brother Soigné</x:v>
      </x:c>
      <x:c r="B10" s="10" t="str">
        <x:v>Grassroots Brewing</x:v>
      </x:c>
      <x:c r="C10" s="10" t="str">
        <x:v>Farmhouse Ale - Saison</x:v>
      </x:c>
      <x:c r="D10" s="12" t="str">
        <x:v>Tart &amp; Funky</x:v>
      </x:c>
      <x:c r="E10" s="12" t="str">
        <x:v>Tart &amp; Funky</x:v>
      </x:c>
      <x:c r="F10" s="12" t="str">
        <x:f>IF(D10=E10,"No","Yes")</x:f>
        <x:v>No</x:v>
      </x:c>
      <x:c r="G10" s="12" t="str">
        <x:v>High</x:v>
      </x:c>
      <x:c r="H10" s="11" t="str">
        <x:v>A tart, mixed-fermentation saison with lime, hibiscus, and blood orange.</x:v>
      </x:c>
      <x:c r="I10" s="11" t="str">
        <x:v>https://untappd.com/b/grassroots-brewing-brother-soigne/361211</x:v>
      </x:c>
      <x:c r="J10" s="11" t="str"/>
    </x:row>
    <x:row r="11" ht="56" customHeight="1">
      <x:c r="A11" s="10" t="str">
        <x:v>Convivial Suaréz</x:v>
      </x:c>
      <x:c r="B11" s="10" t="str">
        <x:v>Grassroots Brewing</x:v>
      </x:c>
      <x:c r="C11" s="10" t="str">
        <x:v>Farmhouse Ale - Saison</x:v>
      </x:c>
      <x:c r="D11" s="12" t="str">
        <x:v>Tart &amp; Funky</x:v>
      </x:c>
      <x:c r="E11" s="12" t="str">
        <x:v>Tart &amp; Funky</x:v>
      </x:c>
      <x:c r="F11" s="12" t="str">
        <x:f>IF(D11=E11,"No","Yes")</x:f>
        <x:v>No</x:v>
      </x:c>
      <x:c r="G11" s="12" t="str">
        <x:v>High</x:v>
      </x:c>
      <x:c r="H11" s="11" t="str">
        <x:v>Hibiscus-and-lemon saison whose description emphasizes acidity and mixed fermentation.</x:v>
      </x:c>
      <x:c r="I11" s="11" t="str">
        <x:v>https://untappd.com/b/grassroots-brewing-convivial-suarez/327210</x:v>
      </x:c>
      <x:c r="J11" s="11" t="str"/>
    </x:row>
    <x:row r="12" ht="56" customHeight="1">
      <x:c r="A12" s="10" t="str">
        <x:v>Anna</x:v>
      </x:c>
      <x:c r="B12" s="10" t="str">
        <x:v>Hill Farmstead Brewery</x:v>
      </x:c>
      <x:c r="C12" s="10" t="str">
        <x:v>Farmhouse Ale - Saison</x:v>
      </x:c>
      <x:c r="D12" s="12" t="str">
        <x:v>Tart &amp; Funky</x:v>
      </x:c>
      <x:c r="E12" s="12" t="str">
        <x:v>Tart &amp; Funky</x:v>
      </x:c>
      <x:c r="F12" s="12" t="str">
        <x:f>IF(D12=E12,"No","Yes")</x:f>
        <x:v>No</x:v>
      </x:c>
      <x:c r="G12" s="12" t="str">
        <x:v>High</x:v>
      </x:c>
      <x:c r="H12" s="11" t="str">
        <x:v>Manual second-pass decision applies the revised Tart &amp; Funky Saison default; honey and farmhouse-yeast notes do not create an exception.</x:v>
      </x:c>
      <x:c r="I12" s="11" t="str">
        <x:v>https://untappd.com/b/hill-farmstead-brewery-anna/21548</x:v>
      </x:c>
      <x:c r="J12" s="11" t="str">
        <x:v>https://hillfarmstead.com/beer/anna/</x:v>
      </x:c>
    </x:row>
    <x:row r="13" ht="56" customHeight="1">
      <x:c r="A13" s="10" t="str">
        <x:v>Arthur</x:v>
      </x:c>
      <x:c r="B13" s="10" t="str">
        <x:v>Hill Farmstead Brewery</x:v>
      </x:c>
      <x:c r="C13" s="10" t="str">
        <x:v>Farmhouse Ale - Saison</x:v>
      </x:c>
      <x:c r="D13" s="12" t="str">
        <x:v>Tart &amp; Funky</x:v>
      </x:c>
      <x:c r="E13" s="12" t="str">
        <x:v>Tart &amp; Funky</x:v>
      </x:c>
      <x:c r="F13" s="12" t="str">
        <x:f>IF(D13=E13,"No","Yes")</x:f>
        <x:v>No</x:v>
      </x:c>
      <x:c r="G13" s="12" t="str">
        <x:v>High</x:v>
      </x:c>
      <x:c r="H13" s="11" t="str">
        <x:v>Manual second-pass decision applies the revised Tart &amp; Funky Saison default.</x:v>
      </x:c>
      <x:c r="I13" s="11" t="str">
        <x:v>https://untappd.com/b/hill-farmstead-brewery-arthur/13488</x:v>
      </x:c>
      <x:c r="J13" s="11" t="str">
        <x:v>https://hillfarmstead.com/beer/arthur/</x:v>
      </x:c>
    </x:row>
    <x:row r="14" ht="56" customHeight="1">
      <x:c r="A14" s="10" t="str">
        <x:v>Dorothy</x:v>
      </x:c>
      <x:c r="B14" s="10" t="str">
        <x:v>Hill Farmstead Brewery</x:v>
      </x:c>
      <x:c r="C14" s="10" t="str">
        <x:v>Farmhouse Ale - Saison</x:v>
      </x:c>
      <x:c r="D14" s="12" t="str">
        <x:v>Tart &amp; Funky</x:v>
      </x:c>
      <x:c r="E14" s="12" t="str">
        <x:v>Tart &amp; Funky</x:v>
      </x:c>
      <x:c r="F14" s="12" t="str">
        <x:f>IF(D14=E14,"No","Yes")</x:f>
        <x:v>No</x:v>
      </x:c>
      <x:c r="G14" s="12" t="str">
        <x:v>High</x:v>
      </x:c>
      <x:c r="H14" s="11" t="str">
        <x:v>Manual second-pass decision keeps this in Tart &amp; Funky under the revised Saison rule; dry hopping does not create an exception.</x:v>
      </x:c>
      <x:c r="I14" s="11" t="str">
        <x:v>https://untappd.com/b/hill-farmstead-brewery-dorothy/16434</x:v>
      </x:c>
      <x:c r="J14" s="11" t="str">
        <x:v>https://hillfarmstead.com/beer/dorothy/</x:v>
      </x:c>
    </x:row>
    <x:row r="15" ht="56" customHeight="1">
      <x:c r="A15" s="10" t="str">
        <x:v>Florence</x:v>
      </x:c>
      <x:c r="B15" s="10" t="str">
        <x:v>Hill Farmstead Brewery</x:v>
      </x:c>
      <x:c r="C15" s="10" t="str">
        <x:v>Farmhouse Ale - Saison</x:v>
      </x:c>
      <x:c r="D15" s="12" t="str">
        <x:v>Tart &amp; Funky</x:v>
      </x:c>
      <x:c r="E15" s="12" t="str">
        <x:v>Tart &amp; Funky</x:v>
      </x:c>
      <x:c r="F15" s="12" t="str">
        <x:f>IF(D15=E15,"No","Yes")</x:f>
        <x:v>No</x:v>
      </x:c>
      <x:c r="G15" s="12" t="str">
        <x:v>High</x:v>
      </x:c>
      <x:c r="H15" s="11" t="str">
        <x:v>Manual second-pass decision applies the revised Tart &amp; Funky Saison default.</x:v>
      </x:c>
      <x:c r="I15" s="11" t="str">
        <x:v>https://untappd.com/b/hill-farmstead-brewery-florence/45654</x:v>
      </x:c>
      <x:c r="J15" s="11" t="str">
        <x:v>https://hillfarmstead.com/beer/florence/</x:v>
      </x:c>
    </x:row>
    <x:row r="16" ht="56" customHeight="1">
      <x:c r="A16" s="10" t="str">
        <x:v>Saison Rosé</x:v>
      </x:c>
      <x:c r="B16" s="10" t="str">
        <x:v>Oxbow Brewing Company</x:v>
      </x:c>
      <x:c r="C16" s="10" t="str">
        <x:v>Farmhouse Ale - Saison</x:v>
      </x:c>
      <x:c r="D16" s="12" t="str">
        <x:v>Tart &amp; Funky</x:v>
      </x:c>
      <x:c r="E16" s="12" t="str">
        <x:v>Tart &amp; Funky</x:v>
      </x:c>
      <x:c r="F16" s="12" t="str">
        <x:f>IF(D16=E16,"No","Yes")</x:f>
        <x:v>No</x:v>
      </x:c>
      <x:c r="G16" s="12" t="str">
        <x:v>High</x:v>
      </x:c>
      <x:c r="H16" s="11" t="str">
        <x:v>Mixed-fermentation saison with Pinot Noir grapes, cherries, strawberries, and raspberries.</x:v>
      </x:c>
      <x:c r="I16" s="11" t="str">
        <x:v>https://untappd.com/b/oxbow-brewing-company-saison-rose/2147346</x:v>
      </x:c>
      <x:c r="J16" s="11" t="str"/>
    </x:row>
    <x:row r="17" ht="56" customHeight="1">
      <x:c r="A17" s="10" t="str">
        <x:v>Saison Du Roost</x:v>
      </x:c>
      <x:c r="B17" s="10" t="str">
        <x:v>River Roost Brewery</x:v>
      </x:c>
      <x:c r="C17" s="10" t="str">
        <x:v>Farmhouse Ale - Saison</x:v>
      </x:c>
      <x:c r="D17" s="12" t="str">
        <x:v>Tart &amp; Funky</x:v>
      </x:c>
      <x:c r="E17" s="12" t="str">
        <x:v>Tart &amp; Funky</x:v>
      </x:c>
      <x:c r="F17" s="12" t="str">
        <x:f>IF(D17=E17,"No","Yes")</x:f>
        <x:v>No</x:v>
      </x:c>
      <x:c r="G17" s="12" t="str">
        <x:v>High</x:v>
      </x:c>
      <x:c r="H17" s="11" t="str">
        <x:v>Manual second-pass decision applies the revised Tart &amp; Funky Saison default; its foeder aging is consistent with that placement.</x:v>
      </x:c>
      <x:c r="I17" s="11" t="str">
        <x:v>https://untappd.com/b/river-roost-brewery-saison-du-roost/4112205</x:v>
      </x:c>
      <x:c r="J17" s="11" t="str">
        <x:v>https://www.brewviewvt.com/2021/04/29/353692/the-search-for-a-local-saison-in-vermont</x:v>
      </x:c>
    </x:row>
    <x:row r="18" ht="56" customHeight="1">
      <x:c r="A18" s="10" t="str">
        <x:v>Saison du Blé (Blend #14)</x:v>
      </x:c>
      <x:c r="B18" s="10" t="str">
        <x:v>Side Project Brewing</x:v>
      </x:c>
      <x:c r="C18" s="10" t="str">
        <x:v>Farmhouse Ale - Saison</x:v>
      </x:c>
      <x:c r="D18" s="12" t="str">
        <x:v>Tart &amp; Funky</x:v>
      </x:c>
      <x:c r="E18" s="12" t="str">
        <x:v>Tart &amp; Funky</x:v>
      </x:c>
      <x:c r="F18" s="12" t="str">
        <x:f>IF(D18=E18,"No","Yes")</x:f>
        <x:v>No</x:v>
      </x:c>
      <x:c r="G18" s="12" t="str">
        <x:v>High</x:v>
      </x:c>
      <x:c r="H18" s="11" t="str">
        <x:v>NRG itself labels this Tart &amp; Funky; the beer uses Side Project's mixed culture and is aged in Missouri oak.</x:v>
      </x:c>
      <x:c r="I18" s="11" t="str">
        <x:v>https://untappd.com/b/side-project-brewing-saison-du-ble-blend-14/5756788</x:v>
      </x:c>
      <x:c r="J18" s="11" t="str">
        <x:v>https://order.toasttab.com/online/the-roost-stall-3/item-off-color-beer-for-tacos-tart-funky_2296e288-8b33-4d00-b7b2-cd131bd1f25c</x:v>
      </x:c>
    </x:row>
    <x:row r="19" ht="56" customHeight="1">
      <x:c r="A19" s="10" t="str">
        <x:v>Alter Ego</x:v>
      </x:c>
      <x:c r="B19" s="10" t="str">
        <x:v>Smartmouth Brewing Co.</x:v>
      </x:c>
      <x:c r="C19" s="10" t="str">
        <x:v>Farmhouse Ale - Saison</x:v>
      </x:c>
      <x:c r="D19" s="12" t="str">
        <x:v>Tart &amp; Funky</x:v>
      </x:c>
      <x:c r="E19" s="12" t="str">
        <x:v>Tart &amp; Funky</x:v>
      </x:c>
      <x:c r="F19" s="12" t="str">
        <x:f>IF(D19=E19,"No","Yes")</x:f>
        <x:v>No</x:v>
      </x:c>
      <x:c r="G19" s="12" t="str">
        <x:v>High</x:v>
      </x:c>
      <x:c r="H19" s="11" t="str">
        <x:v>Manual second-pass decision applies the revised Tart &amp; Funky Saison default; fruit and pepper notes do not create an exception.</x:v>
      </x:c>
      <x:c r="I19" s="11" t="str">
        <x:v>https://untappd.com/b/smartmouth-brewing-co-alter-ego/242743</x:v>
      </x:c>
      <x:c r="J19" s="11" t="str"/>
    </x:row>
    <x:row r="20" ht="56" customHeight="1">
      <x:c r="A20" s="10" t="str">
        <x:v>Make You Feel</x:v>
      </x:c>
      <x:c r="B20" s="10" t="str">
        <x:v>The Veil Brewing Co.</x:v>
      </x:c>
      <x:c r="C20" s="10" t="str">
        <x:v>Farmhouse Ale - Saison</x:v>
      </x:c>
      <x:c r="D20" s="12" t="str">
        <x:v>Tart &amp; Funky</x:v>
      </x:c>
      <x:c r="E20" s="12" t="str">
        <x:v>Tart &amp; Funky</x:v>
      </x:c>
      <x:c r="F20" s="12" t="str">
        <x:f>IF(D20=E20,"No","Yes")</x:f>
        <x:v>No</x:v>
      </x:c>
      <x:c r="G20" s="12" t="str">
        <x:v>High</x:v>
      </x:c>
      <x:c r="H20" s="11" t="str">
        <x:v>Open-fermented saison aged 15 months in Pinot barrels inoculated with the brewery's house culture.</x:v>
      </x:c>
      <x:c r="I20" s="11" t="str">
        <x:v>https://untappd.com/b/the-veil-brewing-co-make-you-feel/2465964</x:v>
      </x:c>
      <x:c r="J20" s="11" t="str"/>
    </x:row>
    <x:row r="21" ht="56" customHeight="1">
      <x:c r="A21" s="10" t="str">
        <x:v>Mergence III</x:v>
      </x:c>
      <x:c r="B21" s="10" t="str">
        <x:v>The Veil Brewing Co.</x:v>
      </x:c>
      <x:c r="C21" s="10" t="str">
        <x:v>Farmhouse Ale - Saison</x:v>
      </x:c>
      <x:c r="D21" s="12" t="str">
        <x:v>Tart &amp; Funky</x:v>
      </x:c>
      <x:c r="E21" s="12" t="str">
        <x:v>Tart &amp; Funky</x:v>
      </x:c>
      <x:c r="F21" s="12" t="str">
        <x:f>IF(D21=E21,"No","Yes")</x:f>
        <x:v>No</x:v>
      </x:c>
      <x:c r="G21" s="12" t="str">
        <x:v>High</x:v>
      </x:c>
      <x:c r="H21" s="11" t="str">
        <x:v>Barrel-fermented mixed-fermentation saison; dry hopping does not outweigh the mixed-culture base.</x:v>
      </x:c>
      <x:c r="I21" s="11" t="str">
        <x:v>https://untappd.com/b/the-veil-brewing-co-mergence-iii/2950860</x:v>
      </x:c>
      <x:c r="J21" s="11" t="str"/>
    </x:row>
    <x:row r="22" ht="56" customHeight="1">
      <x:c r="A22" s="10" t="str">
        <x:v>Saison du Row</x:v>
      </x:c>
      <x:c r="B22" s="10" t="str">
        <x:v>Trillium Brewing Company</x:v>
      </x:c>
      <x:c r="C22" s="10" t="str">
        <x:v>Farmhouse Ale - Saison</x:v>
      </x:c>
      <x:c r="D22" s="12" t="str">
        <x:v>Tart &amp; Funky</x:v>
      </x:c>
      <x:c r="E22" s="12" t="str">
        <x:v>Tart &amp; Funky</x:v>
      </x:c>
      <x:c r="F22" s="12" t="str">
        <x:f>IF(D22=E22,"No","Yes")</x:f>
        <x:v>No</x:v>
      </x:c>
      <x:c r="G22" s="12" t="str">
        <x:v>High</x:v>
      </x:c>
      <x:c r="H22" s="11" t="str">
        <x:v>Manual second-pass decision applies the revised Tart &amp; Funky Saison default; pepper, clove, lemon, and hay do not create an exception.</x:v>
      </x:c>
      <x:c r="I22" s="11" t="str">
        <x:v>https://untappd.com/b/trillium-brewing-company-saison-du-row/3785868</x:v>
      </x:c>
      <x:c r="J22" s="11" t="str"/>
    </x:row>
    <x:row r="23" ht="56" customHeight="1">
      <x:c r="A23" s="10" t="str">
        <x:v>Lil’ Fizzy</x:v>
      </x:c>
      <x:c r="B23" s="10" t="str">
        <x:v>Woodland Empire Ale Craft</x:v>
      </x:c>
      <x:c r="C23" s="10" t="str">
        <x:v>Fruit Beer</x:v>
      </x:c>
      <x:c r="D23" s="12" t="str">
        <x:v>Fruit &amp; Spice</x:v>
      </x:c>
      <x:c r="E23" s="12" t="str">
        <x:v>Fruit &amp; Spice</x:v>
      </x:c>
      <x:c r="F23" s="12" t="str">
        <x:f>IF(D23=E23,"No","Yes")</x:f>
        <x:v>No</x:v>
      </x:c>
      <x:c r="G23" s="12" t="str">
        <x:v>High</x:v>
      </x:c>
      <x:c r="H23" s="11" t="str">
        <x:v>Beer-rosé concept built around cherry, pomegranate, and guava; no souring or mixed fermentation is stated.</x:v>
      </x:c>
      <x:c r="I23" s="11" t="str">
        <x:v>https://untappd.com/b/woodland-empire-ale-craft-lil-fizzy/3460316</x:v>
      </x:c>
      <x:c r="J23" s="11" t="str"/>
    </x:row>
    <x:row r="24" ht="56" customHeight="1">
      <x:c r="A24" s="10" t="str">
        <x:v>Old Blush</x:v>
      </x:c>
      <x:c r="B24" s="10" t="str">
        <x:v>Fonta Flora Brewery</x:v>
      </x:c>
      <x:c r="C24" s="10" t="str">
        <x:v>Grape Ale - Other</x:v>
      </x:c>
      <x:c r="D24" s="12" t="str">
        <x:v>Fruit &amp; Spice</x:v>
      </x:c>
      <x:c r="E24" s="12" t="str">
        <x:v>Tart &amp; Funky</x:v>
      </x:c>
      <x:c r="F24" s="12" t="str">
        <x:f>IF(D24=E24,"No","Yes")</x:f>
        <x:v>Yes</x:v>
      </x:c>
      <x:c r="G24" s="12" t="str">
        <x:v>High</x:v>
      </x:c>
      <x:c r="H24" s="11" t="str">
        <x:v>Rosé-inspired mixed-culture ale made with local muscadine grapes.</x:v>
      </x:c>
      <x:c r="I24" s="11" t="str">
        <x:v>https://untappd.com/b/fonta-flora-brewery-old-blush/5312634</x:v>
      </x:c>
      <x:c r="J24" s="11" t="str"/>
    </x:row>
    <x:row r="25" ht="56" customHeight="1">
      <x:c r="A25" s="10" t="str">
        <x:v>Lichtenhainer</x:v>
      </x:c>
      <x:c r="B25" s="10" t="str">
        <x:v>Dovetail Brewery</x:v>
      </x:c>
      <x:c r="C25" s="10" t="str">
        <x:v>Historical Beer - Lichtenhainer</x:v>
      </x:c>
      <x:c r="D25" s="12" t="str">
        <x:v>Smoke</x:v>
      </x:c>
      <x:c r="E25" s="12" t="str">
        <x:v>Smoke</x:v>
      </x:c>
      <x:c r="F25" s="12" t="str">
        <x:f>IF(D25=E25,"No","Yes")</x:f>
        <x:v>No</x:v>
      </x:c>
      <x:c r="G25" s="12" t="str">
        <x:v>High</x:v>
      </x:c>
      <x:c r="H25" s="11" t="str">
        <x:v>Universal style rule: all Historical Beer - Lichtenhainer maps to Smoke; the brewery's Smoked Beer classification reinforces that placement.</x:v>
      </x:c>
      <x:c r="I25" s="11" t="str">
        <x:v>https://untappd.com/b/dovetail-brewery-lichtenhainer/6576724</x:v>
      </x:c>
      <x:c r="J25" s="11" t="str">
        <x:v>https://www.dovetailbrewery.com/whats-on-tap</x:v>
      </x:c>
    </x:row>
    <x:row r="26" ht="56" customHeight="1">
      <x:c r="A26" s="10" t="str">
        <x:v>Lichtenhainer Ritterguts Weisse</x:v>
      </x:c>
      <x:c r="B26" s="10" t="str">
        <x:v>Ritterguts Gose</x:v>
      </x:c>
      <x:c r="C26" s="10" t="str">
        <x:v>Historical Beer - Lichtenhainer</x:v>
      </x:c>
      <x:c r="D26" s="12" t="str">
        <x:v>Smoke</x:v>
      </x:c>
      <x:c r="E26" s="12" t="str">
        <x:v>Smoke</x:v>
      </x:c>
      <x:c r="F26" s="12" t="str">
        <x:f>IF(D26=E26,"No","Yes")</x:f>
        <x:v>No</x:v>
      </x:c>
      <x:c r="G26" s="12" t="str">
        <x:v>High</x:v>
      </x:c>
      <x:c r="H26" s="11" t="str">
        <x:v>Universal style rule: all Historical Beer - Lichtenhainer maps to Smoke; acidity remains part of the style but does not change the family.</x:v>
      </x:c>
      <x:c r="I26" s="11" t="str">
        <x:v>https://untappd.com/b/ritterguts-gose-lichtenhainer-ritterguts-weisse/4749264</x:v>
      </x:c>
      <x:c r="J26" s="11" t="str"/>
    </x:row>
    <x:row r="27" ht="56" customHeight="1">
      <x:c r="A27" s="10" t="str">
        <x:v>Two Way Mirror</x:v>
      </x:c>
      <x:c r="B27" s="10" t="str">
        <x:v>Bluejacket</x:v>
      </x:c>
      <x:c r="C27" s="10" t="str">
        <x:v>Lager - Other</x:v>
      </x:c>
      <x:c r="D27" s="12" t="str">
        <x:v>Crisp</x:v>
      </x:c>
      <x:c r="E27" s="12" t="str">
        <x:v>Fruit &amp; Spice</x:v>
      </x:c>
      <x:c r="F27" s="12" t="str">
        <x:f>IF(D27=E27,"No","Yes")</x:f>
        <x:v>Yes</x:v>
      </x:c>
      <x:c r="G27" s="12" t="str">
        <x:v>High</x:v>
      </x:c>
      <x:c r="H27" s="11" t="str">
        <x:v>Helles-derived lager with rosé grape must and Champagne yeast; the wine-grape fermentation concept defines the beer more than lager crispness.</x:v>
      </x:c>
      <x:c r="I27" s="11" t="str">
        <x:v>https://untappd.com/b/bluejacket-two-way-mirror/5547705</x:v>
      </x:c>
      <x:c r="J27" s="11" t="str">
        <x:v>https://untappd.com/v/shelter/10239379/event/701618</x:v>
      </x:c>
    </x:row>
    <x:row r="28" ht="56" customHeight="1">
      <x:c r="A28" s="10" t="str">
        <x:v>Carib Blue</x:v>
      </x:c>
      <x:c r="B28" s="10" t="str">
        <x:v>Carib Brewery Limited</x:v>
      </x:c>
      <x:c r="C28" s="10" t="str">
        <x:v>Lager - Strong</x:v>
      </x:c>
      <x:c r="D28" s="12" t="str">
        <x:v>Crisp</x:v>
      </x:c>
      <x:c r="E28" s="12" t="str">
        <x:v>Crisp</x:v>
      </x:c>
      <x:c r="F28" s="12" t="str">
        <x:f>IF(D28=E28,"No","Yes")</x:f>
        <x:v>No</x:v>
      </x:c>
      <x:c r="G28" s="12" t="str">
        <x:v>High</x:v>
      </x:c>
      <x:c r="H28" s="11" t="str">
        <x:v>A stronger premium version of Carib Lager with no stated roast, smoke, fruit, or mixed-fermentation feature.</x:v>
      </x:c>
      <x:c r="I28" s="11" t="str">
        <x:v>https://untappd.com/b/carib-brewery-limited-carib-blue/4530226</x:v>
      </x:c>
      <x:c r="J28" s="11" t="str"/>
    </x:row>
    <x:row r="29" ht="56" customHeight="1">
      <x:c r="A29" s="10" t="str">
        <x:v>Rising Down</x:v>
      </x:c>
      <x:c r="B29" s="10" t="str">
        <x:v>Bluejacket</x:v>
      </x:c>
      <x:c r="C29" s="10" t="str">
        <x:v>Lager - Tmavé (Czech Dark)</x:v>
      </x:c>
      <x:c r="D29" s="12" t="str">
        <x:v>Malt</x:v>
      </x:c>
      <x:c r="E29" s="12" t="str">
        <x:v>Malt</x:v>
      </x:c>
      <x:c r="F29" s="12" t="str">
        <x:f>IF(D29=E29,"No","Yes")</x:f>
        <x:v>No</x:v>
      </x:c>
      <x:c r="G29" s="12" t="str">
        <x:v>High</x:v>
      </x:c>
      <x:c r="H29" s="11" t="str">
        <x:v>NRG directly labels this exact beer Malt; caramel, nuts, and figs lead, while cocoa and light roast are secondary.</x:v>
      </x:c>
      <x:c r="I29" s="11" t="str">
        <x:v>https://untappd.com/b/bluejacket-rising-down/5953484</x:v>
      </x:c>
      <x:c r="J29" s="11" t="str">
        <x:v>https://order.toasttab.com/online/the-roost-stall-3/item-bluejacket-north-strand-road-roast-l_481f7b14-de6c-4366-b65a-799d38395140</x:v>
      </x:c>
    </x:row>
    <x:row r="30" ht="56" customHeight="1">
      <x:c r="A30" s="10" t="str">
        <x:v>Rhetorica</x:v>
      </x:c>
      <x:c r="B30" s="10" t="str">
        <x:v>Hill Farmstead Brewery</x:v>
      </x:c>
      <x:c r="C30" s="10" t="str">
        <x:v>Lager - Tmavé (Czech Dark)</x:v>
      </x:c>
      <x:c r="D30" s="12" t="str">
        <x:v>Malt</x:v>
      </x:c>
      <x:c r="E30" s="12" t="str">
        <x:v>Malt</x:v>
      </x:c>
      <x:c r="F30" s="12" t="str">
        <x:f>IF(D30=E30,"No","Yes")</x:f>
        <x:v>No</x:v>
      </x:c>
      <x:c r="G30" s="12" t="str">
        <x:v>High</x:v>
      </x:c>
      <x:c r="H30" s="11" t="str">
        <x:v>Wood-conditioned Czech dark lager led by bread and rich malt, with only slight roast and cocoa.</x:v>
      </x:c>
      <x:c r="I30" s="11" t="str">
        <x:v>https://untappd.com/b/hill-farmstead-brewery-rhetorica/3089625</x:v>
      </x:c>
      <x:c r="J30" s="11" t="str">
        <x:v>https://hillfarmstead.com/beer/rhetorica/</x:v>
      </x:c>
    </x:row>
    <x:row r="31" ht="56" customHeight="1">
      <x:c r="A31" s="10" t="str">
        <x:v>Tmavy 13°</x:v>
      </x:c>
      <x:c r="B31" s="10" t="str">
        <x:v>Human Robot</x:v>
      </x:c>
      <x:c r="C31" s="10" t="str">
        <x:v>Lager - Tmavé (Czech Dark)</x:v>
      </x:c>
      <x:c r="D31" s="12" t="str">
        <x:v>Malt</x:v>
      </x:c>
      <x:c r="E31" s="12" t="str">
        <x:v>Malt</x:v>
      </x:c>
      <x:c r="F31" s="12" t="str">
        <x:f>IF(D31=E31,"No","Yes")</x:f>
        <x:v>No</x:v>
      </x:c>
      <x:c r="G31" s="12" t="str">
        <x:v>High</x:v>
      </x:c>
      <x:c r="H31" s="11" t="str">
        <x:v>Universal Czech-dark rule places this in Malt; roast and dark bread are permitted components of the malt-led style.</x:v>
      </x:c>
      <x:c r="I31" s="11" t="str">
        <x:v>https://untappd.com/b/human-robot-tmavy-13-deg/4660098</x:v>
      </x:c>
      <x:c r="J31" s="11" t="str"/>
    </x:row>
    <x:row r="32" ht="56" customHeight="1">
      <x:c r="A32" s="10" t="str">
        <x:v>Bohemian Dusk</x:v>
      </x:c>
      <x:c r="B32" s="10" t="str">
        <x:v>Jack’s Abby Craft Lagers</x:v>
      </x:c>
      <x:c r="C32" s="10" t="str">
        <x:v>Lager - Tmavé (Czech Dark)</x:v>
      </x:c>
      <x:c r="D32" s="12" t="str">
        <x:v>Malt</x:v>
      </x:c>
      <x:c r="E32" s="12" t="str">
        <x:v>Malt</x:v>
      </x:c>
      <x:c r="F32" s="12" t="str">
        <x:f>IF(D32=E32,"No","Yes")</x:f>
        <x:v>No</x:v>
      </x:c>
      <x:c r="G32" s="12" t="str">
        <x:v>High</x:v>
      </x:c>
      <x:c r="H32" s="11" t="str">
        <x:v>Light, easy-drinking dark lager with just a hint of sweet roast; roast is not dominant.</x:v>
      </x:c>
      <x:c r="I32" s="11" t="str">
        <x:v>https://untappd.com/b/jack-s-abby-craft-lagers-bohemian-dusk/5228985</x:v>
      </x:c>
      <x:c r="J32" s="11" t="str"/>
    </x:row>
    <x:row r="33" ht="56" customHeight="1">
      <x:c r="A33" s="10" t="str">
        <x:v>Dying Moons &amp; Shadows</x:v>
      </x:c>
      <x:c r="B33" s="10" t="str">
        <x:v>Lost Generation Brewing Company</x:v>
      </x:c>
      <x:c r="C33" s="10" t="str">
        <x:v>Lager - Tmavé (Czech Dark)</x:v>
      </x:c>
      <x:c r="D33" s="12" t="str">
        <x:v>Malt</x:v>
      </x:c>
      <x:c r="E33" s="12" t="str">
        <x:v>Malt</x:v>
      </x:c>
      <x:c r="F33" s="12" t="str">
        <x:f>IF(D33=E33,"No","Yes")</x:f>
        <x:v>No</x:v>
      </x:c>
      <x:c r="G33" s="12" t="str">
        <x:v>High</x:v>
      </x:c>
      <x:c r="H33" s="11" t="str">
        <x:v>Layered toast, cashew, raisin, and soft chocolate, with roast described only as a hint.</x:v>
      </x:c>
      <x:c r="I33" s="11" t="str">
        <x:v>https://untappd.com/b/lost-generation-brewing-company-dying-moons-and-shadows/5265246</x:v>
      </x:c>
      <x:c r="J33" s="11" t="str"/>
    </x:row>
    <x:row r="34" ht="56" customHeight="1">
      <x:c r="A34" s="10" t="str">
        <x:v>Tmavé Pivo</x:v>
      </x:c>
      <x:c r="B34" s="10" t="str">
        <x:v>Port City Brewing</x:v>
      </x:c>
      <x:c r="C34" s="10" t="str">
        <x:v>Lager - Tmavé (Czech Dark)</x:v>
      </x:c>
      <x:c r="D34" s="12" t="str">
        <x:v>Malt</x:v>
      </x:c>
      <x:c r="E34" s="12" t="str">
        <x:v>Malt</x:v>
      </x:c>
      <x:c r="F34" s="12" t="str">
        <x:f>IF(D34=E34,"No","Yes")</x:f>
        <x:v>No</x:v>
      </x:c>
      <x:c r="G34" s="12" t="str">
        <x:v>High</x:v>
      </x:c>
      <x:c r="H34" s="11" t="str">
        <x:v>Balanced malt, spicy hops, roastiness, and slight caramel; the malt profile leads without pronounced roast.</x:v>
      </x:c>
      <x:c r="I34" s="11" t="str">
        <x:v>https://untappd.com/b/port-city-brewing-tmave-pivo/3437102</x:v>
      </x:c>
      <x:c r="J34" s="11" t="str"/>
    </x:row>
    <x:row r="35" ht="56" customHeight="1">
      <x:c r="A35" s="10" t="str">
        <x:v>Dark Lager</x:v>
      </x:c>
      <x:c r="B35" s="10" t="str">
        <x:v>Sacred Profane Brewing</x:v>
      </x:c>
      <x:c r="C35" s="10" t="str">
        <x:v>Lager - Tmavé (Czech Dark)</x:v>
      </x:c>
      <x:c r="D35" s="12" t="str">
        <x:v>Malt</x:v>
      </x:c>
      <x:c r="E35" s="12" t="str">
        <x:v>Malt</x:v>
      </x:c>
      <x:c r="F35" s="12" t="str">
        <x:f>IF(D35=E35,"No","Yes")</x:f>
        <x:v>No</x:v>
      </x:c>
      <x:c r="G35" s="12" t="str">
        <x:v>High</x:v>
      </x:c>
      <x:c r="H35" s="11" t="str">
        <x:v>The consistency rule standardizes all Czech dark lagers to Malt, overriding NRG's product-specific Roast placement for this beer.</x:v>
      </x:c>
      <x:c r="I35" s="11" t="str">
        <x:v>https://untappd.com/b/sacred-profane-brewing-dark-lager/5002873</x:v>
      </x:c>
      <x:c r="J35" s="11" t="str">
        <x:v>https://www.theroostsedc.com/shelter</x:v>
      </x:c>
    </x:row>
    <x:row r="36" ht="56" customHeight="1">
      <x:c r="A36" s="10" t="str">
        <x:v>Karlův 13°</x:v>
      </x:c>
      <x:c r="B36" s="10" t="str">
        <x:v>Schilling Beer Co.</x:v>
      </x:c>
      <x:c r="C36" s="10" t="str">
        <x:v>Lager - Tmavé (Czech Dark)</x:v>
      </x:c>
      <x:c r="D36" s="12" t="str">
        <x:v>Malt</x:v>
      </x:c>
      <x:c r="E36" s="12" t="str">
        <x:v>Malt</x:v>
      </x:c>
      <x:c r="F36" s="12" t="str">
        <x:f>IF(D36=E36,"No","Yes")</x:f>
        <x:v>No</x:v>
      </x:c>
      <x:c r="G36" s="12" t="str">
        <x:v>High</x:v>
      </x:c>
      <x:c r="H36" s="11" t="str">
        <x:v>Cocoa, coffee, and pumpernickel remain components of a Czech dark lager whose defining family is its rich malt profile.</x:v>
      </x:c>
      <x:c r="I36" s="11" t="str">
        <x:v>https://untappd.com/b/schilling-beer-co-karluv-13-deg/4719216</x:v>
      </x:c>
      <x:c r="J36" s="11" t="str"/>
    </x:row>
    <x:row r="37" ht="56" customHeight="1">
      <x:c r="A37" s="10" t="str">
        <x:v>Spire City</x:v>
      </x:c>
      <x:c r="B37" s="10" t="str">
        <x:v>Wheatland Spring Farm + Brewery</x:v>
      </x:c>
      <x:c r="C37" s="10" t="str">
        <x:v>Lager - Tmavé (Czech Dark)</x:v>
      </x:c>
      <x:c r="D37" s="12" t="str">
        <x:v>Malt</x:v>
      </x:c>
      <x:c r="E37" s="12" t="str">
        <x:v>Malt</x:v>
      </x:c>
      <x:c r="F37" s="12" t="str">
        <x:f>IF(D37=E37,"No","Yes")</x:f>
        <x:v>No</x:v>
      </x:c>
      <x:c r="G37" s="12" t="str">
        <x:v>High</x:v>
      </x:c>
      <x:c r="H37" s="11" t="str">
        <x:v>Its roasty grain notes remain within the universal Malt placement for Czech dark lager rather than creating a beer-level exception.</x:v>
      </x:c>
      <x:c r="I37" s="11" t="str">
        <x:v>https://untappd.com/b/wheatland-spring-farm-brewery-spire-city/5171303</x:v>
      </x:c>
      <x:c r="J37" s="11" t="str"/>
    </x:row>
    <x:row r="38" ht="56" customHeight="1">
      <x:c r="A38" s="10" t="str">
        <x:v>Guardian of the Bines</x:v>
      </x:c>
      <x:c r="B38" s="10" t="str">
        <x:v>City-State Brewing</x:v>
      </x:c>
      <x:c r="C38" s="10" t="str">
        <x:v>Pale Ale - Belgian</x:v>
      </x:c>
      <x:c r="D38" s="12" t="str">
        <x:v>Malt</x:v>
      </x:c>
      <x:c r="E38" s="12" t="str">
        <x:v>Hop</x:v>
      </x:c>
      <x:c r="F38" s="12" t="str">
        <x:f>IF(D38=E38,"No","Yes")</x:f>
        <x:v>Yes</x:v>
      </x:c>
      <x:c r="G38" s="12" t="str">
        <x:v>Medium</x:v>
      </x:c>
      <x:c r="H38" s="11" t="str">
        <x:v>Belgian pale ale built around DC-grown Centennial hops; the name and recipe make hops the distinguishing feature.</x:v>
      </x:c>
      <x:c r="I38" s="11" t="str">
        <x:v>https://untappd.com/b/city-state-brewing-guardian-of-the-bines/6053063</x:v>
      </x:c>
      <x:c r="J38" s="11" t="str"/>
    </x:row>
    <x:row r="39" ht="56" customHeight="1">
      <x:c r="A39" s="10" t="str">
        <x:v>Hommel Bier</x:v>
      </x:c>
      <x:c r="B39" s="10" t="str">
        <x:v>Perennial Artisan Ales</x:v>
      </x:c>
      <x:c r="C39" s="10" t="str">
        <x:v>Pale Ale - Belgian</x:v>
      </x:c>
      <x:c r="D39" s="12" t="str">
        <x:v>Malt</x:v>
      </x:c>
      <x:c r="E39" s="12" t="str">
        <x:v>Hop</x:v>
      </x:c>
      <x:c r="F39" s="12" t="str">
        <x:f>IF(D39=E39,"No","Yes")</x:f>
        <x:v>Yes</x:v>
      </x:c>
      <x:c r="G39" s="12" t="str">
        <x:v>High</x:v>
      </x:c>
      <x:c r="H39" s="11" t="str">
        <x:v>Dry-hopped Belgian pale ale; published brewery material describes it as an herbal homage to the hop.</x:v>
      </x:c>
      <x:c r="I39" s="11" t="str">
        <x:v>https://untappd.com/b/perennial-artisan-ales-hommel-bier/48335</x:v>
      </x:c>
      <x:c r="J39" s="11" t="str">
        <x:v>https://www.craftbeer.com/news/beer-release/enigmatic-taxa</x:v>
      </x:c>
    </x:row>
    <x:row r="40" ht="56" customHeight="1">
      <x:c r="A40" s="10" t="str">
        <x:v>Again &amp; Again</x:v>
      </x:c>
      <x:c r="B40" s="10" t="str">
        <x:v>Oxbow Brewing Company</x:v>
      </x:c>
      <x:c r="C40" s="10" t="str">
        <x:v>Table Beer</x:v>
      </x:c>
      <x:c r="D40" s="12" t="str">
        <x:v>Tart &amp; Funky</x:v>
      </x:c>
      <x:c r="E40" s="12" t="str">
        <x:v>Tart &amp; Funky</x:v>
      </x:c>
      <x:c r="F40" s="12" t="str">
        <x:f>IF(D40=E40,"No","Yes")</x:f>
        <x:v>No</x:v>
      </x:c>
      <x:c r="G40" s="12" t="str">
        <x:v>High</x:v>
      </x:c>
      <x:c r="H40" s="11" t="str">
        <x:v>Table beer fermented with Brettanomyces, with tropical, lemon, grass, and pepper character.</x:v>
      </x:c>
      <x:c r="I40" s="11" t="str">
        <x:v>https://untappd.com/b/oxbow-brewing-company-again-and-again/3342223</x:v>
      </x:c>
      <x:c r="J40" s="11" t="str"/>
    </x:row>
    <x:row r="41" ht="56" customHeight="1">
      <x:c r="A41" s="10" t="str">
        <x:v>Sauvage</x:v>
      </x:c>
      <x:c r="B41" s="10" t="str">
        <x:v>The Veil Brewing Co.</x:v>
      </x:c>
      <x:c r="C41" s="10" t="str">
        <x:v>Table Beer</x:v>
      </x:c>
      <x:c r="D41" s="12" t="str">
        <x:v>Tart &amp; Funky</x:v>
      </x:c>
      <x:c r="E41" s="12" t="str">
        <x:v>Tart &amp; Funky</x:v>
      </x:c>
      <x:c r="F41" s="12" t="str">
        <x:f>IF(D41=E41,"No","Yes")</x:f>
        <x:v>No</x:v>
      </x:c>
      <x:c r="G41" s="12" t="str">
        <x:v>High</x:v>
      </x:c>
      <x:c r="H41" s="11" t="str">
        <x:v>Koelschip-inoculated table beer aged with Brettanomyces in red-wine barrels for 13 months.</x:v>
      </x:c>
      <x:c r="I41" s="11" t="str">
        <x:v>https://untappd.com/b/the-veil-brewing-co-sauvage/2541192</x:v>
      </x:c>
      <x:c r="J41" s="11" t="str"/>
    </x:row>
    <x:row r="42" ht="56" customHeight="1">
      <x:c r="A42" s="10" t="str">
        <x:v>Delirium Noël / Christmas</x:v>
      </x:c>
      <x:c r="B42" s="10" t="str">
        <x:v>Delirium - Huyghe Brewery</x:v>
      </x:c>
      <x:c r="C42" s="10" t="str">
        <x:v>Winter Ale</x:v>
      </x:c>
      <x:c r="D42" s="12" t="str">
        <x:v>Fruit &amp; Spice</x:v>
      </x:c>
      <x:c r="E42" s="12" t="str">
        <x:v>Fruit &amp; Spice</x:v>
      </x:c>
      <x:c r="F42" s="12" t="str">
        <x:f>IF(D42=E42,"No","Yes")</x:f>
        <x:v>No</x:v>
      </x:c>
      <x:c r="G42" s="12" t="str">
        <x:v>High</x:v>
      </x:c>
      <x:c r="H42" s="11" t="str">
        <x:v>Caramel malt is present, but strong fruitiness and pronounced spice define the seasonal profile.</x:v>
      </x:c>
      <x:c r="I42" s="11" t="str">
        <x:v>https://untappd.com/b/delirium-huyghe-brewery-delirium-noel-christmas/8767</x:v>
      </x:c>
      <x:c r="J42" s="11" t="str"/>
    </x:row>
  </x:sheetData>
  <x:conditionalFormatting sqref="D2:D42">
    <x:cfRule type="containsText" dxfId="10" priority="1" operator="containsText" text="Crisp"/>
    <x:cfRule type="containsText" dxfId="12" priority="3" operator="containsText" text="Hop"/>
    <x:cfRule type="containsText" dxfId="14" priority="5" operator="containsText" text="Malt"/>
    <x:cfRule type="containsText" dxfId="16" priority="7" operator="containsText" text="Roast"/>
    <x:cfRule type="containsText" dxfId="18" priority="9" operator="containsText" text="Smoke"/>
    <x:cfRule type="containsText" dxfId="20" priority="11" operator="containsText" text="Fruit &amp; Spice"/>
    <x:cfRule type="containsText" dxfId="22" priority="13" operator="containsText" text="Tart &amp; Funky"/>
    <x:cfRule type="containsText" dxfId="24" priority="15" operator="containsText" text="Recipe-dependent"/>
  </x:conditionalFormatting>
  <x:conditionalFormatting sqref="E2:E42">
    <x:cfRule type="containsText" dxfId="11" priority="2" operator="containsText" text="Crisp"/>
    <x:cfRule type="containsText" dxfId="13" priority="4" operator="containsText" text="Hop"/>
    <x:cfRule type="containsText" dxfId="15" priority="6" operator="containsText" text="Malt"/>
    <x:cfRule type="containsText" dxfId="17" priority="8" operator="containsText" text="Roast"/>
    <x:cfRule type="containsText" dxfId="19" priority="10" operator="containsText" text="Smoke"/>
    <x:cfRule type="containsText" dxfId="21" priority="12" operator="containsText" text="Fruit &amp; Spice"/>
    <x:cfRule type="containsText" dxfId="23" priority="14" operator="containsText" text="Tart &amp; Funky"/>
    <x:cfRule type="containsText" dxfId="25" priority="16" operator="containsText" text="Recipe-dependent"/>
  </x:conditionalFormatting>
  <x:conditionalFormatting sqref="F2:F42">
    <x:cfRule type="containsText" dxfId="26" priority="17" operator="containsText" text="Yes"/>
  </x:conditionalFormatting>
  <x:conditionalFormatting sqref="G2:G42">
    <x:cfRule type="containsText" dxfId="27" priority="18" operator="containsText" text="Medium"/>
  </x:conditionalFormatting>
  <x:dataValidations count="1">
    <x:dataValidation type="list" sqref="E2:E42">
      <x:formula1>"Crisp,Hop,Malt,Roast,Smoke,Fruit &amp; Spice,Tart &amp; Funky"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55bed7a6eb4c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1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13" hidden="0" customWidth="1"/>
    <x:col min="10" max="10" width="49" hidden="0" customWidth="1"/>
  </x:cols>
  <x:sheetData>
    <x:row r="1" ht="34" customHeight="1">
      <x:c r="A1" s="16" t="str">
        <x:v>NRG BEER-FAMILY CROSSWALK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42" customHeight="1">
      <x:c r="A2" s="28" t="str">
        <x:v>Families</x:v>
      </x:c>
      <x:c r="B2" s="29" t="n">
        <x:v>7</x:v>
      </x:c>
      <x:c r="C2" s="29" t="str">
        <x:v>Current styles mapped</x:v>
      </x:c>
      <x:c r="D2" s="29" t="n">
        <x:f>COUNTIF('Crosswalk'!$D$2:$D$115,"Yes")</x:f>
        <x:v>109</x:v>
      </x:c>
      <x:c r="E2" s="29" t="str">
        <x:v>Current beers covered</x:v>
      </x:c>
      <x:c r="F2" s="29" t="n">
        <x:f>SUM('Crosswalk'!$C$2:$C$115)</x:f>
        <x:v>617</x:v>
      </x:c>
      <x:c r="G2" s="29" t="str">
        <x:v>Beer-level reviews</x:v>
      </x:c>
      <x:c r="H2" s="29" t="n">
        <x:f>COUNTA('Beer Review'!$A$2:$A$42)</x:f>
        <x:v>41</x:v>
      </x:c>
      <x:c r="I2" s="29" t="str">
        <x:v>Overrides from defaults</x:v>
      </x:c>
      <x:c r="J2" s="30" t="n">
        <x:f>COUNTIF('Beer Review'!$F$2:$F$42,"Yes")</x:f>
        <x:v>9</x:v>
      </x:c>
    </x:row>
    <x:row r="4" ht="34" customHeight="1">
      <x:c r="A4" s="47" t="str">
        <x:v>Family</x:v>
      </x:c>
      <x:c r="B4" s="47" t="str">
        <x:v>Flavor shorthand</x:v>
      </x:c>
      <x:c r="C4" s="47" t="str">
        <x:v>Representative styles</x:v>
      </x:c>
      <x:c r="D4" s="47" t="str">
        <x:v>Styles in crosswalk</x:v>
      </x:c>
      <x:c r="E4" s="47" t="str">
        <x:v>Current styles</x:v>
      </x:c>
      <x:c r="F4" s="47" t="str">
        <x:v>Default beer count</x:v>
      </x:c>
      <x:c r="G4" s="47" t="str">
        <x:v>Final beer count</x:v>
      </x:c>
      <x:c r="H4" s="47" t="str">
        <x:v>Final share</x:v>
      </x:c>
      <x:c r="I4" s="47" t="str">
        <x:v>Net change</x:v>
      </x:c>
      <x:c r="J4" s="47" t="str">
        <x:v>Important boundary</x:v>
      </x:c>
    </x:row>
    <x:row r="5" ht="52" customHeight="1">
      <x:c r="A5" s="55" t="str">
        <x:v>Crisp</x:v>
      </x:c>
      <x:c r="B5" s="11" t="str">
        <x:v>Light, clean, refreshing</x:v>
      </x:c>
      <x:c r="C5" s="11" t="str">
        <x:v>Blond ale, Kölsch, pale/amber lager, pilsner</x:v>
      </x:c>
      <x:c r="D5" s="62" t="n">
        <x:f>COUNTIF('Crosswalk'!$B$2:$B$115,A5)</x:f>
        <x:v>27</x:v>
      </x:c>
      <x:c r="E5" s="62" t="n">
        <x:f>COUNTIFS('Crosswalk'!$B$2:$B$115,A5,'Crosswalk'!$D$2:$D$115,"Yes")</x:f>
        <x:v>26</x:v>
      </x:c>
      <x:c r="F5" s="62" t="n">
        <x:f>SUMIF('Crosswalk'!$B$2:$B$115,A5,'Crosswalk'!$C$2:$C$115)</x:f>
        <x:v>116</x:v>
      </x:c>
      <x:c r="G5" s="62" t="n">
        <x:f>F5+COUNTIF('Beer Review'!$E$2:$E$42,A5)-COUNTIF('Beer Review'!$D$2:$D$42,A5)</x:f>
        <x:v>115</x:v>
      </x:c>
      <x:c r="H5" s="63" t="n">
        <x:f>G5/SUM($G$5:$G$11)</x:f>
        <x:v>0.18638573743922204</x:v>
      </x:c>
      <x:c r="I5" s="64" t="n">
        <x:f>G5-F5</x:f>
        <x:v>-1</x:v>
      </x:c>
      <x:c r="J5" s="11" t="str">
        <x:v>Hoppy lagers stay Crisp unless hops clearly dominate.</x:v>
      </x:c>
    </x:row>
    <x:row r="6" ht="52" customHeight="1">
      <x:c r="A6" s="56" t="str">
        <x:v>Hop</x:v>
      </x:c>
      <x:c r="B6" s="11" t="str">
        <x:v>Hop aroma/bitterness leads</x:v>
      </x:c>
      <x:c r="C6" s="11" t="str">
        <x:v>Pale ale, IPA, California common, American amber</x:v>
      </x:c>
      <x:c r="D6" s="62" t="n">
        <x:f>COUNTIF('Crosswalk'!$B$2:$B$115,A6)</x:f>
        <x:v>18</x:v>
      </x:c>
      <x:c r="E6" s="62" t="n">
        <x:f>COUNTIFS('Crosswalk'!$B$2:$B$115,A6,'Crosswalk'!$D$2:$D$115,"Yes")</x:f>
        <x:v>18</x:v>
      </x:c>
      <x:c r="F6" s="62" t="n">
        <x:f>SUMIF('Crosswalk'!$B$2:$B$115,A6,'Crosswalk'!$C$2:$C$115)</x:f>
        <x:v>318</x:v>
      </x:c>
      <x:c r="G6" s="62" t="n">
        <x:f>F6+COUNTIF('Beer Review'!$E$2:$E$42,A6)-COUNTIF('Beer Review'!$D$2:$D$42,A6)</x:f>
        <x:v>320</x:v>
      </x:c>
      <x:c r="H6" s="63" t="n">
        <x:f>G6/SUM($G$5:$G$11)</x:f>
        <x:v>0.5186385737439222</x:v>
      </x:c>
      <x:c r="I6" s="64" t="n">
        <x:f>G6-F6</x:f>
        <x:v>2</x:v>
      </x:c>
      <x:c r="J6" s="11" t="str">
        <x:v>Black IPA moves to Roast; sour IPA moves to Tart &amp; Funky.</x:v>
      </x:c>
    </x:row>
    <x:row r="7" ht="52" customHeight="1">
      <x:c r="A7" s="57" t="str">
        <x:v>Malt</x:v>
      </x:c>
      <x:c r="B7" s="11" t="str">
        <x:v>Toast, nuts, caramel, toffee</x:v>
      </x:c>
      <x:c r="C7" s="11" t="str">
        <x:v>Dunkel, doppelbock, ESB, Irish red, wee heavy</x:v>
      </x:c>
      <x:c r="D7" s="62" t="n">
        <x:f>COUNTIF('Crosswalk'!$B$2:$B$115,A7)</x:f>
        <x:v>14</x:v>
      </x:c>
      <x:c r="E7" s="62" t="n">
        <x:f>COUNTIFS('Crosswalk'!$B$2:$B$115,A7,'Crosswalk'!$D$2:$D$115,"Yes")</x:f>
        <x:v>11</x:v>
      </x:c>
      <x:c r="F7" s="62" t="n">
        <x:f>SUMIF('Crosswalk'!$B$2:$B$115,A7,'Crosswalk'!$C$2:$C$115)</x:f>
        <x:v>25</x:v>
      </x:c>
      <x:c r="G7" s="62" t="n">
        <x:f>F7+COUNTIF('Beer Review'!$E$2:$E$42,A7)-COUNTIF('Beer Review'!$D$2:$D$42,A7)</x:f>
        <x:v>22</x:v>
      </x:c>
      <x:c r="H7" s="63" t="n">
        <x:f>G7/SUM($G$5:$G$11)</x:f>
        <x:v>0.03565640194489465</x:v>
      </x:c>
      <x:c r="I7" s="64" t="n">
        <x:f>G7-F7</x:f>
        <x:v>-3</x:v>
      </x:c>
      <x:c r="J7" s="11" t="str">
        <x:v>All Czech dark lagers are standardized here; rich malt dominates while roast varies within the style.</x:v>
      </x:c>
    </x:row>
    <x:row r="8" ht="52" customHeight="1">
      <x:c r="A8" s="58" t="str">
        <x:v>Roast</x:v>
      </x:c>
      <x:c r="B8" s="11" t="str">
        <x:v>Coffee, cocoa, char, dark grain</x:v>
      </x:c>
      <x:c r="C8" s="11" t="str">
        <x:v>Porter, stout, schwarzbier, black IPA</x:v>
      </x:c>
      <x:c r="D8" s="62" t="n">
        <x:f>COUNTIF('Crosswalk'!$B$2:$B$115,A8)</x:f>
        <x:v>19</x:v>
      </x:c>
      <x:c r="E8" s="62" t="n">
        <x:f>COUNTIFS('Crosswalk'!$B$2:$B$115,A8,'Crosswalk'!$D$2:$D$115,"Yes")</x:f>
        <x:v>19</x:v>
      </x:c>
      <x:c r="F8" s="62" t="n">
        <x:f>SUMIF('Crosswalk'!$B$2:$B$115,A8,'Crosswalk'!$C$2:$C$115)</x:f>
        <x:v>44</x:v>
      </x:c>
      <x:c r="G8" s="62" t="n">
        <x:f>F8+COUNTIF('Beer Review'!$E$2:$E$42,A8)-COUNTIF('Beer Review'!$D$2:$D$42,A8)</x:f>
        <x:v>44</x:v>
      </x:c>
      <x:c r="H8" s="63" t="n">
        <x:f>G8/SUM($G$5:$G$11)</x:f>
        <x:v>0.0713128038897893</x:v>
      </x:c>
      <x:c r="I8" s="64" t="n">
        <x:f>G8-F8</x:f>
        <x:v>0</x:v>
      </x:c>
      <x:c r="J8" s="11" t="str">
        <x:v>Czech dark lager stays Malt even when roast notes are present; smoked porter moves to Smoke.</x:v>
      </x:c>
    </x:row>
    <x:row r="9" ht="52" customHeight="1">
      <x:c r="A9" s="59" t="str">
        <x:v>Smoke</x:v>
      </x:c>
      <x:c r="B9" s="11" t="str">
        <x:v>Woodsmoke, peat, savory smoke</x:v>
      </x:c>
      <x:c r="C9" s="11" t="str">
        <x:v>Rauchbier, Grodziskie, smoked lager/porter</x:v>
      </x:c>
      <x:c r="D9" s="62" t="n">
        <x:f>COUNTIF('Crosswalk'!$B$2:$B$115,A9)</x:f>
        <x:v>6</x:v>
      </x:c>
      <x:c r="E9" s="62" t="n">
        <x:f>COUNTIFS('Crosswalk'!$B$2:$B$115,A9,'Crosswalk'!$D$2:$D$115,"Yes")</x:f>
        <x:v>6</x:v>
      </x:c>
      <x:c r="F9" s="62" t="n">
        <x:f>SUMIF('Crosswalk'!$B$2:$B$115,A9,'Crosswalk'!$C$2:$C$115)</x:f>
        <x:v>30</x:v>
      </x:c>
      <x:c r="G9" s="62" t="n">
        <x:f>F9+COUNTIF('Beer Review'!$E$2:$E$42,A9)-COUNTIF('Beer Review'!$D$2:$D$42,A9)</x:f>
        <x:v>30</x:v>
      </x:c>
      <x:c r="H9" s="63" t="n">
        <x:f>G9/SUM($G$5:$G$11)</x:f>
        <x:v>0.04862236628849271</x:v>
      </x:c>
      <x:c r="I9" s="64" t="n">
        <x:f>G9-F9</x:f>
        <x:v>0</x:v>
      </x:c>
      <x:c r="J9" s="11" t="str">
        <x:v>All Lichtenhainer stays Smoke; acidity is part of the style but does not change the family.</x:v>
      </x:c>
    </x:row>
    <x:row r="10" ht="52" customHeight="1">
      <x:c r="A10" s="60" t="str">
        <x:v>Fruit &amp; Spice</x:v>
      </x:c>
      <x:c r="B10" s="11" t="str">
        <x:v>Yeast/fruit/spice-led, not sour</x:v>
      </x:c>
      <x:c r="C10" s="11" t="str">
        <x:v>Witbier, hefeweizen, Belgian blond/dark, tripel</x:v>
      </x:c>
      <x:c r="D10" s="62" t="n">
        <x:f>COUNTIF('Crosswalk'!$B$2:$B$115,A10)</x:f>
        <x:v>14</x:v>
      </x:c>
      <x:c r="E10" s="62" t="n">
        <x:f>COUNTIFS('Crosswalk'!$B$2:$B$115,A10,'Crosswalk'!$D$2:$D$115,"Yes")</x:f>
        <x:v>14</x:v>
      </x:c>
      <x:c r="F10" s="62" t="n">
        <x:f>SUMIF('Crosswalk'!$B$2:$B$115,A10,'Crosswalk'!$C$2:$C$115)</x:f>
        <x:v>32</x:v>
      </x:c>
      <x:c r="G10" s="62" t="n">
        <x:f>F10+COUNTIF('Beer Review'!$E$2:$E$42,A10)-COUNTIF('Beer Review'!$D$2:$D$42,A10)</x:f>
        <x:v>33</x:v>
      </x:c>
      <x:c r="H10" s="63" t="n">
        <x:f>G10/SUM($G$5:$G$11)</x:f>
        <x:v>0.05348460291734198</x:v>
      </x:c>
      <x:c r="I10" s="64" t="n">
        <x:f>G10-F10</x:f>
        <x:v>1</x:v>
      </x:c>
      <x:c r="J10" s="11" t="str">
        <x:v>Growing Light is the sole reviewed Farmhouse Ale - Saison exception.</x:v>
      </x:c>
    </x:row>
    <x:row r="11" ht="52" customHeight="1">
      <x:c r="A11" s="61" t="str">
        <x:v>Tart &amp; Funky</x:v>
      </x:c>
      <x:c r="B11" s="11" t="str">
        <x:v>Acidic, rustic, earthy, vinous</x:v>
      </x:c>
      <x:c r="C11" s="11" t="str">
        <x:v>Saison, Berliner Weisse, gose, lambic, wild/Brett ale</x:v>
      </x:c>
      <x:c r="D11" s="62" t="n">
        <x:f>COUNTIF('Crosswalk'!$B$2:$B$115,A11)</x:f>
        <x:v>15</x:v>
      </x:c>
      <x:c r="E11" s="62" t="n">
        <x:f>COUNTIFS('Crosswalk'!$B$2:$B$115,A11,'Crosswalk'!$D$2:$D$115,"Yes")</x:f>
        <x:v>15</x:v>
      </x:c>
      <x:c r="F11" s="62" t="n">
        <x:f>SUMIF('Crosswalk'!$B$2:$B$115,A11,'Crosswalk'!$C$2:$C$115)</x:f>
        <x:v>52</x:v>
      </x:c>
      <x:c r="G11" s="62" t="n">
        <x:f>F11+COUNTIF('Beer Review'!$E$2:$E$42,A11)-COUNTIF('Beer Review'!$D$2:$D$42,A11)</x:f>
        <x:v>53</x:v>
      </x:c>
      <x:c r="H11" s="63" t="n">
        <x:f>G11/SUM($G$5:$G$11)</x:f>
        <x:v>0.08589951377633712</x:v>
      </x:c>
      <x:c r="I11" s="64" t="n">
        <x:f>G11-F11</x:f>
        <x:v>1</x:v>
      </x:c>
      <x:c r="J11" s="11" t="str">
        <x:v>Farmhouse Ale - Saison defaults here; Growing Light moves to Fruit &amp; Spice.</x:v>
      </x:c>
    </x:row>
    <x:row r="13" ht="34" customHeight="1">
      <x:c r="A13" s="67" t="str">
        <x:v>Final counts apply the 41 beer-level reviews; the other 576 beers inherit their style default. Legacy style “Gluten-Free” remains recipe-dependent and does not occur in the current export.</x:v>
      </x:c>
      <x:c r="B13" s="67"/>
      <x:c r="C13" s="67"/>
      <x:c r="D13" s="67"/>
      <x:c r="E13" s="67"/>
      <x:c r="F13" s="67"/>
      <x:c r="G13" s="67"/>
      <x:c r="H13" s="67"/>
      <x:c r="I13" s="67"/>
      <x:c r="J13" s="67"/>
    </x:row>
  </x:sheetData>
  <x:mergeCells>
    <x:mergeCell ref="A1:J1"/>
    <x:mergeCell ref="A13:J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88" hidden="0" customWidth="1"/>
    <x:col min="4" max="4" width="21" hidden="0" customWidth="1"/>
  </x:cols>
  <x:sheetData>
    <x:row r="1" ht="34" customHeight="1">
      <x:c r="A1" s="14" t="str">
        <x:v>METHOD, SCOPE &amp; SOURCES</x:v>
      </x:c>
      <x:c r="B1" s="14"/>
      <x:c r="C1" s="14"/>
      <x:c r="D1" s="14"/>
    </x:row>
    <x:row r="3" ht="40" customHeight="1">
      <x:c r="A3" s="69" t="str">
        <x:v>Question</x:v>
      </x:c>
      <x:c r="B3" s="11" t="str">
        <x:v>Map every current beer and every Untappd style in the project to Greg Engert/NRG's seven flavor families.</x:v>
      </x:c>
      <x:c r="C3" s="11"/>
      <x:c r="D3" s="11"/>
    </x:row>
    <x:row r="4" ht="40" customHeight="1">
      <x:c r="A4" s="69" t="str">
        <x:v>Scope</x:v>
      </x:c>
      <x:c r="B4" s="11" t="str">
        <x:v>109 styles in inputs/beer_data.csv (607 beers), plus four legacy styles already present in inputs/styles_cross.xlsx.</x:v>
      </x:c>
      <x:c r="C4" s="11"/>
      <x:c r="D4" s="11"/>
    </x:row>
    <x:row r="5" ht="40" customHeight="1">
      <x:c r="A5" s="69" t="str">
        <x:v>Style pass</x:v>
      </x:c>
      <x:c r="B5" s="11" t="str">
        <x:v>Each style receives a default family so the crosswalk remains complete and reusable.</x:v>
      </x:c>
      <x:c r="C5" s="11"/>
      <x:c r="D5" s="11"/>
    </x:row>
    <x:row r="6" ht="40" customHeight="1">
      <x:c r="A6" s="69" t="str">
        <x:v>Beer pass</x:v>
      </x:c>
      <x:c r="B6" s="11" t="str">
        <x:v>All 41 beers in the 13 context-sensitive current styles were reviewed individually. Manual consistency rules then set Saison to Tart &amp; Funky except Growing Light, all Lichtenhainer to Smoke, and all Czech dark lager to Malt.</x:v>
      </x:c>
      <x:c r="C6" s="11"/>
      <x:c r="D6" s="11"/>
    </x:row>
    <x:row r="7" ht="40" customHeight="1">
      <x:c r="A7" s="69" t="str">
        <x:v>Override rule</x:v>
      </x:c>
      <x:c r="B7" s="11" t="str">
        <x:v>The beer-level decision supersedes its style default when the specific beer's defining flavor or fermentation evidence crosses a family boundary.</x:v>
      </x:c>
      <x:c r="C7" s="11"/>
      <x:c r="D7" s="11"/>
    </x:row>
    <x:row r="8" ht="40" customHeight="1">
      <x:c r="A8" s="69" t="str">
        <x:v>Taxonomy</x:v>
      </x:c>
      <x:c r="B8" s="11" t="str">
        <x:v>Crisp; Hop; Malt; Roast; Smoke; Fruit &amp; Spice; Tart &amp; Funky.</x:v>
      </x:c>
      <x:c r="C8" s="11"/>
      <x:c r="D8" s="11"/>
    </x:row>
    <x:row r="9" ht="40" customHeight="1">
      <x:c r="A9" s="69" t="str">
        <x:v>Date checked</x:v>
      </x:c>
      <x:c r="B9" s="11" t="str">
        <x:v>2026-08-03</x:v>
      </x:c>
      <x:c r="C9" s="11"/>
      <x:c r="D9" s="11"/>
    </x:row>
    <x:row r="10">
      <x:c r="A10" s="11"/>
      <x:c r="B10" s="11"/>
      <x:c r="C10" s="11"/>
      <x:c r="D10" s="11"/>
    </x:row>
    <x:row r="11">
      <x:c r="A11" s="70" t="str">
        <x:v>Source</x:v>
      </x:c>
      <x:c r="B11" s="70" t="str">
        <x:v>What it supports</x:v>
      </x:c>
      <x:c r="C11" s="70" t="str">
        <x:v>URL</x:v>
      </x:c>
      <x:c r="D11" s="70" t="str">
        <x:v>Type</x:v>
      </x:c>
    </x:row>
    <x:row r="12" ht="46" customHeight="1">
      <x:c r="A12" s="11" t="str">
        <x:v>ChurchKey current drafts/bottles</x:v>
      </x:c>
      <x:c r="B12" s="11" t="str">
        <x:v>Current use of all seven headings and examples placed beneath them.</x:v>
      </x:c>
      <x:c r="C12" s="11" t="str">
        <x:v>https://www.churchkeydc.com/</x:v>
      </x:c>
      <x:c r="D12" s="11" t="str">
        <x:v>Official NRG venue</x:v>
      </x:c>
    </x:row>
    <x:row r="13" ht="46" customHeight="1">
      <x:c r="A13" s="11" t="str">
        <x:v>Rustico current beer menu</x:v>
      </x:c>
      <x:c r="B13" s="11" t="str">
        <x:v>Independent confirmation of the same seven headings across an NRG restaurant.</x:v>
      </x:c>
      <x:c r="C13" s="11" t="str">
        <x:v>https://www.rusticorestaurant.com/</x:v>
      </x:c>
      <x:c r="D13" s="11" t="str">
        <x:v>Official NRG venue</x:v>
      </x:c>
    </x:row>
    <x:row r="14" ht="46" customHeight="1">
      <x:c r="A14" s="11" t="str">
        <x:v>Shelter current menu</x:v>
      </x:c>
      <x:c r="B14" s="11" t="str">
        <x:v>Independent confirmation of the same seven headings across an NRG beer hall.</x:v>
      </x:c>
      <x:c r="C14" s="11" t="str">
        <x:v>https://www.theroostsedc.com/shelter</x:v>
      </x:c>
      <x:c r="D14" s="11" t="str">
        <x:v>Official NRG venue</x:v>
      </x:c>
    </x:row>
    <x:row r="15" ht="46" customHeight="1">
      <x:c r="A15" s="11" t="str">
        <x:v>Neighborhood Restaurant Group brands</x:v>
      </x:c>
      <x:c r="B15" s="11" t="str">
        <x:v>Ownership/venue context for ChurchKey, Bluejacket, The Sovereign, The Roost, Rustico, and others.</x:v>
      </x:c>
      <x:c r="C15" s="11" t="str">
        <x:v>https://www.neighborhoodrestaurantgroup.com/ourbrands</x:v>
      </x:c>
      <x:c r="D15" s="11" t="str">
        <x:v>Official group</x:v>
      </x:c>
    </x:row>
    <x:row r="16" ht="46" customHeight="1">
      <x:c r="A16" s="11" t="str">
        <x:v>Greg Engert's seven-category guide</x:v>
      </x:c>
      <x:c r="B16" s="11" t="str">
        <x:v>Definitions and notable styles for each family.</x:v>
      </x:c>
      <x:c r="C16" s="11" t="str">
        <x:v>https://www.splendidtable.org/story/2013/03/21/the-7-flavor-categories-of-beer-what-they-are-how-to-pair-them</x:v>
      </x:c>
      <x:c r="D16" s="11" t="str">
        <x:v>Published taxonomy</x:v>
      </x:c>
    </x:row>
    <x:row r="17" ht="46" customHeight="1">
      <x:c r="A17" s="11" t="str">
        <x:v>41 Untappd product pages</x:v>
      </x:c>
      <x:c r="B17" s="11" t="str">
        <x:v>Beer names, breweries, style labels, and product descriptions used in the beer-level review; exact URL appears on each Beer Review row.</x:v>
      </x:c>
      <x:c r="C17" s="11" t="str">
        <x:v>See Beer Review column I</x:v>
      </x:c>
      <x:c r="D17" s="11" t="str">
        <x:v>Beer-level primary set</x:v>
      </x:c>
    </x:row>
    <x:row r="18" ht="46" customHeight="1">
      <x:c r="A18" s="11" t="str">
        <x:v>NRG listing: Side Project Saison du Blé B.14</x:v>
      </x:c>
      <x:c r="B18" s="11" t="str">
        <x:v>Direct NRG placement in Tart &amp; Funky and mixed-culture/oak-aging description.</x:v>
      </x:c>
      <x:c r="C18" s="11" t="str">
        <x:v>https://order.toasttab.com/online/the-roost-stall-3/item-off-color-beer-for-tacos-tart-funky_2296e288-8b33-4d00-b7b2-cd131bd1f25c</x:v>
      </x:c>
      <x:c r="D18" s="11" t="str">
        <x:v>Direct NRG placement</x:v>
      </x:c>
    </x:row>
    <x:row r="19" ht="46" customHeight="1">
      <x:c r="A19" s="11" t="str">
        <x:v>NRG Czech-dark placements</x:v>
      </x:c>
      <x:c r="B19" s="11" t="str">
        <x:v>Shows that NRG sometimes makes product-specific Malt/Roast calls; this workbook now applies Malt consistently at the style level.</x:v>
      </x:c>
      <x:c r="C19" s="11" t="str">
        <x:v>https://order.toasttab.com/online/the-roost-stall-3/item-bluejacket-north-strand-road-roast-l_481f7b14-de6c-4366-b65a-799d38395140</x:v>
      </x:c>
      <x:c r="D19" s="11" t="str">
        <x:v>Direct NRG placements</x:v>
      </x:c>
    </x:row>
    <x:row r="20" ht="46" customHeight="1">
      <x:c r="A20" s="11" t="str">
        <x:v>BJCP Czech Dark Lager</x:v>
      </x:c>
      <x:c r="B20" s="11" t="str">
        <x:v>Defines the style as rich, dark, and malty; deep maltiness dominates while roast varies and should not overwhelm the base malt.</x:v>
      </x:c>
      <x:c r="C20" s="11" t="str">
        <x:v>https://www.bjcp.org/style/2021/3/</x:v>
      </x:c>
      <x:c r="D20" s="11" t="str">
        <x:v>Official style guidance</x:v>
      </x:c>
    </x:row>
    <x:row r="21" ht="46" customHeight="1">
      <x:c r="A21" s="11" t="str">
        <x:v>Brewers Association Czech Dark Lager</x:v>
      </x:c>
      <x:c r="B21" s="11" t="str">
        <x:v>Confirms medium-to-medium-high complex malt character, with roast allowed across a broad range.</x:v>
      </x:c>
      <x:c r="C21" s="11" t="str">
        <x:v>https://www.brewersassociation.org/edu/brewers-association-beer-style-guidelines/</x:v>
      </x:c>
      <x:c r="D21" s="11" t="str">
        <x:v>Official style guidance</x:v>
      </x:c>
    </x:row>
    <x:row r="22" ht="46" customHeight="1">
      <x:c r="A22" s="11" t="str">
        <x:v>BJCP Lichtenhainer</x:v>
      </x:c>
      <x:c r="B22" s="11" t="str">
        <x:v>Defines a smoked sour historical beer with moderately strong smoke; supports universal Smoke placement.</x:v>
      </x:c>
      <x:c r="C22" s="11" t="str">
        <x:v>https://www.bjcp.org/style/2021/27/historical-beer/</x:v>
      </x:c>
      <x:c r="D22" s="11" t="str">
        <x:v>Official style guidance</x:v>
      </x:c>
    </x:row>
    <x:row r="23" ht="46" customHeight="1">
      <x:c r="A23" s="11" t="str">
        <x:v>BFM La Salamandre</x:v>
      </x:c>
      <x:c r="B23" s="11" t="str">
        <x:v>Official wheat, yeast, floral, spice, orange, and mild-acidity description.</x:v>
      </x:c>
      <x:c r="C23" s="11" t="str">
        <x:v>https://www.brasseriebfm.ch/fr/products/1/5</x:v>
      </x:c>
      <x:c r="D23" s="11" t="str">
        <x:v>Official brewery</x:v>
      </x:c>
    </x:row>
    <x:row r="24" ht="46" customHeight="1">
      <x:c r="A24" s="11" t="str">
        <x:v>Dovetail Lichtenhainer</x:v>
      </x:c>
      <x:c r="B24" s="11" t="str">
        <x:v>Official Smoked Beer classification and gently tart/delicately smoky description.</x:v>
      </x:c>
      <x:c r="C24" s="11" t="str">
        <x:v>https://www.dovetailbrewery.com/whats-on-tap</x:v>
      </x:c>
      <x:c r="D24" s="11" t="str">
        <x:v>Official brewery</x:v>
      </x:c>
    </x:row>
    <x:row r="25" ht="46" customHeight="1">
      <x:c r="A25" s="11" t="str">
        <x:v>Freak Folk portfolio</x:v>
      </x:c>
      <x:c r="B25" s="11" t="str">
        <x:v>Mixed-culture oak fermentation for Lodestar.</x:v>
      </x:c>
      <x:c r="C25" s="11" t="str">
        <x:v>https://www.freakfolkbier.com/portfolio</x:v>
      </x:c>
      <x:c r="D25" s="11" t="str">
        <x:v>Official brewery</x:v>
      </x:c>
    </x:row>
    <x:row r="26" ht="46" customHeight="1">
      <x:c r="A26" s="11" t="str">
        <x:v>Hill Farmstead beer pages</x:v>
      </x:c>
      <x:c r="B26" s="11" t="str">
        <x:v>Official descriptions for Anna, Arthur, Dorothy, Florence, and Rhetorica.</x:v>
      </x:c>
      <x:c r="C26" s="11" t="str">
        <x:v>https://hillfarmstead.com/beer/</x:v>
      </x:c>
      <x:c r="D26" s="11" t="str">
        <x:v>Official brewery</x:v>
      </x:c>
    </x:row>
    <x:row r="27" ht="46" customHeight="1">
      <x:c r="A27" s="11" t="str">
        <x:v>Forest &amp; Main profile</x:v>
      </x:c>
      <x:c r="B27" s="11" t="str">
        <x:v>Documents the brewery's locally foraged mixed-culture saison practice.</x:v>
      </x:c>
      <x:c r="C27" s="11" t="str">
        <x:v>https://www.pelliclemag.com/home/2021/7/12/from-house-to-home-forest-amp-main-brewing-company-ambler-pennsylvania</x:v>
      </x:c>
      <x:c r="D27" s="11" t="str">
        <x:v>Published brewery profile</x:v>
      </x:c>
    </x:row>
    <x:row r="28" ht="46" customHeight="1">
      <x:c r="A28" s="11" t="str">
        <x:v>River Roost saison profile</x:v>
      </x:c>
      <x:c r="B28" s="11" t="str">
        <x:v>Documents Saison du Roost's oak-foeder aging.</x:v>
      </x:c>
      <x:c r="C28" s="11" t="str">
        <x:v>https://www.brewviewvt.com/2021/04/29/353692/the-search-for-a-local-saison-in-vermont</x:v>
      </x:c>
      <x:c r="D28" s="11" t="str">
        <x:v>Published beer profile</x:v>
      </x:c>
    </x:row>
  </x:sheetData>
  <x:mergeCells>
    <x:mergeCell ref="A1:D1"/>
  </x:mergeCells>
  <x:pageMargins left="0.7" right="0.7" top="0.75" bottom="0.75" header="0.3" footer="0.3"/>
</x:worksheet>
</file>